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xr:revisionPtr revIDLastSave="0" documentId="8_{DDAEFD4B-89B6-40E7-A8F2-FA53C6470FE5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Sheet2" sheetId="2" r:id="rId1"/>
    <sheet name="Dashboard" sheetId="4" r:id="rId2"/>
    <sheet name="Sheet3" sheetId="3" r:id="rId3"/>
    <sheet name="Sheet1" sheetId="1" r:id="rId4"/>
  </sheets>
  <calcPr calcId="191028"/>
  <pivotCaches>
    <pivotCache cacheId="418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4" l="1"/>
  <c r="A10" i="4" a="1"/>
  <c r="A10" i="4"/>
  <c r="A8" i="4"/>
  <c r="A3" i="4" a="1"/>
  <c r="A3" i="4"/>
  <c r="A2" i="4"/>
  <c r="A1" i="4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Z30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P2" i="1"/>
  <c r="O2" i="1"/>
  <c r="Z24" i="1"/>
  <c r="Y24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N2" i="1"/>
  <c r="M2" i="1"/>
  <c r="L2" i="1"/>
  <c r="Z19" i="1" s="1"/>
  <c r="K2" i="1"/>
  <c r="Z18" i="1" s="1"/>
  <c r="Z16" i="1"/>
  <c r="Z15" i="1"/>
  <c r="Z14" i="1"/>
  <c r="Z13" i="1"/>
  <c r="Z12" i="1"/>
  <c r="Z11" i="1"/>
  <c r="Z10" i="1"/>
  <c r="Z9" i="1"/>
  <c r="Z8" i="1"/>
  <c r="Z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<sst xmlns="http://schemas.openxmlformats.org/spreadsheetml/2006/main" count="2156" uniqueCount="397">
  <si>
    <t>Region</t>
  </si>
  <si>
    <t>Average of Profit</t>
  </si>
  <si>
    <t>East</t>
  </si>
  <si>
    <t>North</t>
  </si>
  <si>
    <t>South</t>
  </si>
  <si>
    <t>West</t>
  </si>
  <si>
    <t>Grand Total</t>
  </si>
  <si>
    <t>Sum of Total Revenue</t>
  </si>
  <si>
    <t>Category</t>
  </si>
  <si>
    <t>Beverages</t>
  </si>
  <si>
    <t>Clothing</t>
  </si>
  <si>
    <t>Electronics</t>
  </si>
  <si>
    <t>Food</t>
  </si>
  <si>
    <t>Furniture</t>
  </si>
  <si>
    <t>Order ID</t>
  </si>
  <si>
    <t>Country</t>
  </si>
  <si>
    <t>Sales Channel</t>
  </si>
  <si>
    <t>Order Priority</t>
  </si>
  <si>
    <t>Order Date</t>
  </si>
  <si>
    <t>Units Sold</t>
  </si>
  <si>
    <t>Unit Price</t>
  </si>
  <si>
    <t>Unit Cost</t>
  </si>
  <si>
    <t>Region Count</t>
  </si>
  <si>
    <t>Category Count</t>
  </si>
  <si>
    <t>Region Filled</t>
  </si>
  <si>
    <t>Category Filled</t>
  </si>
  <si>
    <t>Units Sold Filled</t>
  </si>
  <si>
    <t>Unit Price Filled</t>
  </si>
  <si>
    <t>Total Revenue</t>
  </si>
  <si>
    <t>Profit</t>
  </si>
  <si>
    <t>ORD0001</t>
  </si>
  <si>
    <t>Germany</t>
  </si>
  <si>
    <t>Online</t>
  </si>
  <si>
    <t>High</t>
  </si>
  <si>
    <t>ORD0002</t>
  </si>
  <si>
    <t>India</t>
  </si>
  <si>
    <t>Low</t>
  </si>
  <si>
    <t>ORD0003</t>
  </si>
  <si>
    <t>Offline</t>
  </si>
  <si>
    <t>ORD0004</t>
  </si>
  <si>
    <t>USA</t>
  </si>
  <si>
    <t>Medium</t>
  </si>
  <si>
    <t>ORD0005</t>
  </si>
  <si>
    <t>Column</t>
  </si>
  <si>
    <t>Missing values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</si>
  <si>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</si>
  <si>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</si>
  <si>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</si>
  <si>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</si>
  <si>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</si>
  <si>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</si>
  <si>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</si>
  <si>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</si>
  <si>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</si>
  <si>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</si>
  <si>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</si>
  <si>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</si>
  <si>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</si>
  <si>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Region Mode</t>
  </si>
  <si>
    <t>ORD0018</t>
  </si>
  <si>
    <t>Category Mode</t>
  </si>
  <si>
    <t>ORD0019</t>
  </si>
  <si>
    <t>ORD0020</t>
  </si>
  <si>
    <t>ORD0021</t>
  </si>
  <si>
    <t>ORD0022</t>
  </si>
  <si>
    <t>Australia</t>
  </si>
  <si>
    <t>Avg Units Sold</t>
  </si>
  <si>
    <t>Avg Unit Price</t>
  </si>
  <si>
    <t>ORD0023</t>
  </si>
  <si>
    <t>ORD0024</t>
  </si>
  <si>
    <t>ORD0025</t>
  </si>
  <si>
    <t>ORD0026</t>
  </si>
  <si>
    <t>ORD0027</t>
  </si>
  <si>
    <t>ORD0028</t>
  </si>
  <si>
    <t>ORD0029</t>
  </si>
  <si>
    <t>Total Price for ORD0123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</si>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</sst>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libri"/>
      <charset val="1"/>
    </font>
    <font>
      <sz val="11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22" fontId="2" fillId="0" borderId="4" xfId="0" applyNumberFormat="1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2" fillId="0" borderId="6" xfId="0" applyFont="1" applyBorder="1" applyAlignment="1">
      <alignment readingOrder="1"/>
    </xf>
    <xf numFmtId="0" fontId="2" fillId="0" borderId="7" xfId="0" applyFont="1" applyBorder="1" applyAlignment="1">
      <alignment readingOrder="1"/>
    </xf>
    <xf numFmtId="22" fontId="2" fillId="0" borderId="7" xfId="0" applyNumberFormat="1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[Copilot.xlsx]Sheet2!PivotTable1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'Profit' by 'Region'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12493.090143826765</c:v>
                </c:pt>
                <c:pt idx="1">
                  <c:v>16728.373098416283</c:v>
                </c:pt>
                <c:pt idx="2">
                  <c:v>19174.390289411767</c:v>
                </c:pt>
                <c:pt idx="3">
                  <c:v>11221.250925915656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2F6-4EA3-8CD9-67428C396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685054472"/>
        <c:axId val="1685056520"/>
      </c:barChart>
      <c:catAx>
        <c:axId val="1685054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056520"/>
        <c:crosses val="autoZero"/>
        <c:auto val="1"/>
        <c:lblAlgn val="ctr"/>
        <c:lblOffset val="100"/>
        <c:noMultiLvlLbl val="0"/>
      </c:catAx>
      <c:valAx>
        <c:axId val="1685056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054472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[Copilot.xlsx]Sheet3!PivotTable2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'Total Revenue' by 'Category' and 'Region'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Beverages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</c:strCache>
            </c:strRef>
          </c:cat>
          <c:val>
            <c:numRef>
              <c:f>Sheet3!$B$5:$B$10</c:f>
              <c:numCache>
                <c:formatCode>General</c:formatCode>
                <c:ptCount val="5"/>
                <c:pt idx="0">
                  <c:v>1110756.69</c:v>
                </c:pt>
                <c:pt idx="1">
                  <c:v>1587286.2385882351</c:v>
                </c:pt>
                <c:pt idx="2">
                  <c:v>946379.13550000009</c:v>
                </c:pt>
                <c:pt idx="3">
                  <c:v>886856.06402941176</c:v>
                </c:pt>
                <c:pt idx="4">
                  <c:v>1764250.2584411765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43-4B34-A0A2-6C5421EE01DC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Beverages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</c:strCache>
            </c:strRef>
          </c:cat>
          <c:val>
            <c:numRef>
              <c:f>Sheet3!$C$5:$C$10</c:f>
              <c:numCache>
                <c:formatCode>General</c:formatCode>
                <c:ptCount val="5"/>
                <c:pt idx="0">
                  <c:v>1276139.23</c:v>
                </c:pt>
                <c:pt idx="1">
                  <c:v>629674.48532352934</c:v>
                </c:pt>
                <c:pt idx="2">
                  <c:v>950484.27000000025</c:v>
                </c:pt>
                <c:pt idx="3">
                  <c:v>1658446.5176176473</c:v>
                </c:pt>
                <c:pt idx="4">
                  <c:v>731274.15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143-4B34-A0A2-6C5421EE01DC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Beverages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</c:strCache>
            </c:strRef>
          </c:cat>
          <c:val>
            <c:numRef>
              <c:f>Sheet3!$D$5:$D$10</c:f>
              <c:numCache>
                <c:formatCode>General</c:formatCode>
                <c:ptCount val="5"/>
                <c:pt idx="0">
                  <c:v>1199637.7073235295</c:v>
                </c:pt>
                <c:pt idx="1">
                  <c:v>496502.89000000007</c:v>
                </c:pt>
                <c:pt idx="2">
                  <c:v>1068292.4033823528</c:v>
                </c:pt>
                <c:pt idx="3">
                  <c:v>695848.67332352931</c:v>
                </c:pt>
                <c:pt idx="4">
                  <c:v>832820.25000000012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143-4B34-A0A2-6C5421EE01DC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Beverages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</c:strCache>
            </c:strRef>
          </c:cat>
          <c:val>
            <c:numRef>
              <c:f>Sheet3!$E$5:$E$10</c:f>
              <c:numCache>
                <c:formatCode>General</c:formatCode>
                <c:ptCount val="5"/>
                <c:pt idx="0">
                  <c:v>1977673.9300000004</c:v>
                </c:pt>
                <c:pt idx="1">
                  <c:v>1133988.9397941174</c:v>
                </c:pt>
                <c:pt idx="2">
                  <c:v>1557975.7660882357</c:v>
                </c:pt>
                <c:pt idx="3">
                  <c:v>823912.55552941165</c:v>
                </c:pt>
                <c:pt idx="4">
                  <c:v>1131273.2835882353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143-4B34-A0A2-6C5421EE0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overlap val="-30"/>
        <c:axId val="1454403080"/>
        <c:axId val="1454413320"/>
      </c:barChart>
      <c:catAx>
        <c:axId val="1454403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413320"/>
        <c:crosses val="autoZero"/>
        <c:auto val="1"/>
        <c:lblAlgn val="ctr"/>
        <c:lblOffset val="100"/>
        <c:noMultiLvlLbl val="0"/>
      </c:catAx>
      <c:valAx>
        <c:axId val="1454413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403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0</xdr:row>
      <xdr:rowOff>133350</xdr:rowOff>
    </xdr:from>
    <xdr:to>
      <xdr:col>10</xdr:col>
      <xdr:colOff>361950</xdr:colOff>
      <xdr:row>15</xdr:row>
      <xdr:rowOff>19050</xdr:rowOff>
    </xdr:to>
    <xdr:graphicFrame macro="">
      <xdr:nvGraphicFramePr>
        <xdr:cNvPr id="2" name="Chart 1" descr="Chart type: Clustered Bar. 'Profit' by 'Region'&#10;&#10;Description automatically generated">
          <a:extLst>
            <a:ext uri="{FF2B5EF4-FFF2-40B4-BE49-F238E27FC236}">
              <a16:creationId xmlns:a16="http://schemas.microsoft.com/office/drawing/2014/main" id="{8541A0A5-E50D-221C-3C44-B32A8D949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14</xdr:col>
      <xdr:colOff>304800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D48B17-895F-D641-E850-3F8183908C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0.700716203704" createdVersion="8" refreshedVersion="8" minRefreshableVersion="3" recordCount="350" xr:uid="{27C32F72-0D70-4C7F-BE99-266C67E9622B}">
  <cacheSource type="worksheet">
    <worksheetSource ref="A1:R351" sheet="Sheet1"/>
  </cacheSource>
  <cacheFields count="18">
    <cacheField name="Order ID" numFmtId="0">
      <sharedItems/>
    </cacheField>
    <cacheField name="Region" numFmtId="0">
      <sharedItems count="4">
        <s v="East"/>
        <s v="West"/>
        <s v="North"/>
        <s v="South"/>
      </sharedItems>
    </cacheField>
    <cacheField name="Country" numFmtId="0">
      <sharedItems/>
    </cacheField>
    <cacheField name="Category" numFmtId="0">
      <sharedItems count="5">
        <s v="Beverages"/>
        <s v="Food"/>
        <s v="Clothing"/>
        <s v="Furniture"/>
        <s v="Electronics"/>
      </sharedItems>
    </cacheField>
    <cacheField name="Sales Channel" numFmtId="0">
      <sharedItems/>
    </cacheField>
    <cacheField name="Order Priority" numFmtId="0">
      <sharedItems/>
    </cacheField>
    <cacheField name="Order Date" numFmtId="22">
      <sharedItems containsSemiMixedTypes="0" containsNonDate="0" containsDate="1" containsString="0" minDate="2023-01-01T00:00:00" maxDate="2023-12-17T00:00:00"/>
    </cacheField>
    <cacheField name="Units Sold" numFmtId="0">
      <sharedItems containsSemiMixedTypes="0" containsString="0" containsNumber="1" minValue="11" maxValue="498"/>
    </cacheField>
    <cacheField name="Unit Price" numFmtId="0">
      <sharedItems containsSemiMixedTypes="0" containsString="0" containsNumber="1" minValue="5.61" maxValue="497.76"/>
    </cacheField>
    <cacheField name="Unit Cost" numFmtId="0">
      <sharedItems containsSemiMixedTypes="0" containsString="0" containsNumber="1" minValue="2.13" maxValue="396.98"/>
    </cacheField>
    <cacheField name="Region Count" numFmtId="0">
      <sharedItems containsSemiMixedTypes="0" containsString="0" containsNumber="1" containsInteger="1" minValue="75" maxValue="106"/>
    </cacheField>
    <cacheField name="Category Count" numFmtId="0">
      <sharedItems containsSemiMixedTypes="0" containsString="0" containsNumber="1" containsInteger="1" minValue="61" maxValue="83"/>
    </cacheField>
    <cacheField name="Region Filled" numFmtId="0">
      <sharedItems/>
    </cacheField>
    <cacheField name="Category Filled" numFmtId="0">
      <sharedItems/>
    </cacheField>
    <cacheField name="Units Sold Filled" numFmtId="0">
      <sharedItems containsSemiMixedTypes="0" containsString="0" containsNumber="1" minValue="11" maxValue="498"/>
    </cacheField>
    <cacheField name="Unit Price Filled" numFmtId="0">
      <sharedItems containsSemiMixedTypes="0" containsString="0" containsNumber="1" minValue="5.61" maxValue="497.76"/>
    </cacheField>
    <cacheField name="Total Revenue" numFmtId="0">
      <sharedItems containsSemiMixedTypes="0" containsString="0" containsNumber="1" minValue="627.52" maxValue="239220.11"/>
    </cacheField>
    <cacheField name="Profit" numFmtId="0">
      <sharedItems containsSemiMixedTypes="0" containsString="0" containsNumber="1" minValue="-150825.24" maxValue="224464.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">
  <r>
    <s v="ORD0001"/>
    <x v="0"/>
    <s v="Germany"/>
    <x v="0"/>
    <s v="Online"/>
    <s v="High"/>
    <d v="2023-01-01T00:00:00"/>
    <n v="235"/>
    <n v="152.91999999999999"/>
    <n v="153.6"/>
    <n v="91"/>
    <n v="83"/>
    <s v="East"/>
    <s v="Beverages"/>
    <n v="235"/>
    <n v="152.91999999999999"/>
    <n v="35936.199999999997"/>
    <n v="-159.80000000000291"/>
  </r>
  <r>
    <s v="ORD0002"/>
    <x v="1"/>
    <s v="India"/>
    <x v="1"/>
    <s v="Online"/>
    <s v="Low"/>
    <d v="2023-01-02T00:00:00"/>
    <n v="341"/>
    <n v="467.92"/>
    <n v="139.84"/>
    <n v="106"/>
    <n v="61"/>
    <s v="West"/>
    <s v="Food"/>
    <n v="341"/>
    <n v="467.92"/>
    <n v="159560.72"/>
    <n v="111875.28"/>
  </r>
  <r>
    <s v="ORD0003"/>
    <x v="2"/>
    <s v="India"/>
    <x v="2"/>
    <s v="Offline"/>
    <s v="High"/>
    <d v="2023-01-03T00:00:00"/>
    <n v="179"/>
    <n v="473.94"/>
    <n v="97.14"/>
    <n v="78"/>
    <n v="67"/>
    <s v="North"/>
    <s v="Clothing"/>
    <n v="179"/>
    <n v="473.94"/>
    <n v="84835.26"/>
    <n v="67447.199999999997"/>
  </r>
  <r>
    <s v="ORD0004"/>
    <x v="0"/>
    <s v="USA"/>
    <x v="3"/>
    <s v="Offline"/>
    <s v="Medium"/>
    <d v="2023-01-04T00:00:00"/>
    <n v="18"/>
    <n v="314.52999999999997"/>
    <n v="204.87"/>
    <n v="91"/>
    <n v="69"/>
    <s v="East"/>
    <s v="Furniture"/>
    <n v="18"/>
    <n v="314.52999999999997"/>
    <n v="5661.5399999999991"/>
    <n v="1973.8799999999992"/>
  </r>
  <r>
    <s v="ORD0005"/>
    <x v="0"/>
    <s v="India"/>
    <x v="3"/>
    <s v="Offline"/>
    <s v="Medium"/>
    <d v="2023-01-05T00:00:00"/>
    <n v="472"/>
    <n v="392.79"/>
    <n v="330.46"/>
    <n v="91"/>
    <n v="69"/>
    <s v="East"/>
    <s v="Furniture"/>
    <n v="472"/>
    <n v="392.79"/>
    <n v="185396.88"/>
    <n v="29419.760000000009"/>
  </r>
  <r>
    <s v="ORD0006"/>
    <x v="1"/>
    <s v="UK"/>
    <x v="2"/>
    <s v="Online"/>
    <s v="High"/>
    <d v="2023-01-06T00:00:00"/>
    <n v="49"/>
    <n v="308.07"/>
    <n v="113.32"/>
    <n v="106"/>
    <n v="67"/>
    <s v="West"/>
    <s v="Clothing"/>
    <n v="49"/>
    <n v="308.07"/>
    <n v="15095.43"/>
    <n v="9542.75"/>
  </r>
  <r>
    <s v="ORD0007"/>
    <x v="2"/>
    <s v="Germany"/>
    <x v="2"/>
    <s v="Online"/>
    <s v="Low"/>
    <d v="2023-01-07T00:00:00"/>
    <n v="34"/>
    <n v="244.78"/>
    <n v="377.07"/>
    <n v="78"/>
    <n v="67"/>
    <s v="North"/>
    <s v="Clothing"/>
    <n v="34"/>
    <n v="244.78"/>
    <n v="8322.52"/>
    <n v="-4497.8599999999988"/>
  </r>
  <r>
    <s v="ORD0008"/>
    <x v="2"/>
    <s v="India"/>
    <x v="0"/>
    <s v="Online"/>
    <s v="High"/>
    <d v="2023-01-08T00:00:00"/>
    <n v="270"/>
    <n v="332.11"/>
    <n v="349.59"/>
    <n v="78"/>
    <n v="83"/>
    <s v="North"/>
    <s v="Beverages"/>
    <n v="270"/>
    <n v="332.11"/>
    <n v="89669.7"/>
    <n v="-4719.5999999999913"/>
  </r>
  <r>
    <s v="ORD0009"/>
    <x v="0"/>
    <s v="India"/>
    <x v="0"/>
    <s v="Online"/>
    <s v="Low"/>
    <d v="2023-01-09T00:00:00"/>
    <n v="404"/>
    <n v="278.74"/>
    <n v="66.38"/>
    <n v="91"/>
    <n v="83"/>
    <s v="East"/>
    <s v="Beverages"/>
    <n v="404"/>
    <n v="278.74"/>
    <n v="112610.96"/>
    <n v="85793.44"/>
  </r>
  <r>
    <s v="ORD0010"/>
    <x v="1"/>
    <s v="USA"/>
    <x v="3"/>
    <s v="Online"/>
    <s v="Medium"/>
    <d v="2023-01-10T00:00:00"/>
    <n v="452"/>
    <n v="300.75"/>
    <n v="314.94"/>
    <n v="106"/>
    <n v="69"/>
    <s v="West"/>
    <s v="Furniture"/>
    <n v="452"/>
    <n v="300.75"/>
    <n v="135939"/>
    <n v="-6413.8800000000047"/>
  </r>
  <r>
    <s v="ORD0011"/>
    <x v="0"/>
    <s v="USA"/>
    <x v="1"/>
    <s v="Online"/>
    <s v="Low"/>
    <d v="2023-01-11T00:00:00"/>
    <n v="235"/>
    <n v="393"/>
    <n v="230.69"/>
    <n v="91"/>
    <n v="61"/>
    <s v="East"/>
    <s v="Food"/>
    <n v="235"/>
    <n v="393"/>
    <n v="92355"/>
    <n v="38142.85"/>
  </r>
  <r>
    <s v="ORD0012"/>
    <x v="0"/>
    <s v="UK"/>
    <x v="3"/>
    <s v="Offline"/>
    <s v="Medium"/>
    <d v="2023-01-12T00:00:00"/>
    <n v="481"/>
    <n v="243.05"/>
    <n v="227.5"/>
    <n v="91"/>
    <n v="69"/>
    <s v="East"/>
    <s v="Furniture"/>
    <n v="481"/>
    <n v="243.05"/>
    <n v="116907.05"/>
    <n v="7479.5500000000029"/>
  </r>
  <r>
    <s v="ORD0013"/>
    <x v="0"/>
    <s v="Germany"/>
    <x v="1"/>
    <s v="Offline"/>
    <s v="Low"/>
    <d v="2023-01-13T00:00:00"/>
    <n v="133"/>
    <n v="25.17"/>
    <n v="157.63999999999999"/>
    <n v="91"/>
    <n v="61"/>
    <s v="East"/>
    <s v="Food"/>
    <n v="133"/>
    <n v="25.17"/>
    <n v="3347.61"/>
    <n v="-17618.509999999998"/>
  </r>
  <r>
    <s v="ORD0014"/>
    <x v="0"/>
    <s v="USA"/>
    <x v="1"/>
    <s v="Offline"/>
    <s v="Low"/>
    <d v="2023-01-14T00:00:00"/>
    <n v="472"/>
    <n v="86.18"/>
    <n v="201.46"/>
    <n v="91"/>
    <n v="61"/>
    <s v="East"/>
    <s v="Food"/>
    <n v="472"/>
    <n v="86.18"/>
    <n v="40676.960000000006"/>
    <n v="-54412.160000000003"/>
  </r>
  <r>
    <s v="ORD0015"/>
    <x v="1"/>
    <s v="India"/>
    <x v="0"/>
    <s v="Offline"/>
    <s v="Low"/>
    <d v="2023-01-15T00:00:00"/>
    <n v="47"/>
    <n v="222.11"/>
    <n v="160.08000000000001"/>
    <n v="106"/>
    <n v="83"/>
    <s v="West"/>
    <s v="Beverages"/>
    <n v="47"/>
    <n v="222.11"/>
    <n v="10439.17"/>
    <n v="2915.41"/>
  </r>
  <r>
    <s v="ORD0016"/>
    <x v="2"/>
    <s v="Germany"/>
    <x v="4"/>
    <s v="Online"/>
    <s v="High"/>
    <d v="2023-01-16T00:00:00"/>
    <n v="337"/>
    <n v="363.79"/>
    <n v="216.81"/>
    <n v="78"/>
    <n v="70"/>
    <s v="North"/>
    <s v="Electronics"/>
    <n v="337"/>
    <n v="363.79"/>
    <n v="122597.23000000001"/>
    <n v="49532.260000000009"/>
  </r>
  <r>
    <s v="ORD0017"/>
    <x v="1"/>
    <s v="Germany"/>
    <x v="4"/>
    <s v="Online"/>
    <s v="High"/>
    <d v="2023-01-17T00:00:00"/>
    <n v="260"/>
    <n v="298.67"/>
    <n v="251.92"/>
    <n v="106"/>
    <n v="70"/>
    <s v="West"/>
    <s v="Electronics"/>
    <n v="260"/>
    <n v="298.67"/>
    <n v="77654.2"/>
    <n v="12155"/>
  </r>
  <r>
    <s v="ORD0018"/>
    <x v="1"/>
    <s v="India"/>
    <x v="2"/>
    <s v="Offline"/>
    <s v="Medium"/>
    <d v="2023-01-18T00:00:00"/>
    <n v="398"/>
    <n v="326.89999999999998"/>
    <n v="270.37"/>
    <n v="106"/>
    <n v="67"/>
    <s v="West"/>
    <s v="Clothing"/>
    <n v="398"/>
    <n v="326.89999999999998"/>
    <n v="130106.2"/>
    <n v="22498.940000000002"/>
  </r>
  <r>
    <s v="ORD0019"/>
    <x v="1"/>
    <s v="USA"/>
    <x v="0"/>
    <s v="Online"/>
    <s v="Medium"/>
    <d v="2023-01-19T00:00:00"/>
    <n v="185"/>
    <n v="242.24"/>
    <n v="213.93"/>
    <n v="106"/>
    <n v="83"/>
    <s v="West"/>
    <s v="Beverages"/>
    <n v="185"/>
    <n v="242.24"/>
    <n v="44814.400000000001"/>
    <n v="5237.3499999999985"/>
  </r>
  <r>
    <s v="ORD0020"/>
    <x v="0"/>
    <s v="India"/>
    <x v="1"/>
    <s v="Offline"/>
    <s v="High"/>
    <d v="2023-01-20T00:00:00"/>
    <n v="99"/>
    <n v="309.79000000000002"/>
    <n v="289.13"/>
    <n v="91"/>
    <n v="61"/>
    <s v="East"/>
    <s v="Food"/>
    <n v="99"/>
    <n v="309.79000000000002"/>
    <n v="30669.210000000003"/>
    <n v="2045.3400000000038"/>
  </r>
  <r>
    <s v="ORD0021"/>
    <x v="3"/>
    <s v="Germany"/>
    <x v="4"/>
    <s v="Offline"/>
    <s v="Medium"/>
    <d v="2023-01-21T00:00:00"/>
    <n v="411"/>
    <n v="167.86"/>
    <n v="58.23"/>
    <n v="75"/>
    <n v="70"/>
    <s v="South"/>
    <s v="Electronics"/>
    <n v="411"/>
    <n v="167.86"/>
    <n v="68990.460000000006"/>
    <n v="45057.930000000008"/>
  </r>
  <r>
    <s v="ORD0022"/>
    <x v="2"/>
    <s v="Australia"/>
    <x v="1"/>
    <s v="Offline"/>
    <s v="High"/>
    <d v="2023-01-22T00:00:00"/>
    <n v="463"/>
    <n v="237.74"/>
    <n v="86.37"/>
    <n v="78"/>
    <n v="61"/>
    <s v="North"/>
    <s v="Food"/>
    <n v="463"/>
    <n v="237.74"/>
    <n v="110073.62000000001"/>
    <n v="70084.31"/>
  </r>
  <r>
    <s v="ORD0023"/>
    <x v="3"/>
    <s v="Australia"/>
    <x v="4"/>
    <s v="Online"/>
    <s v="Low"/>
    <d v="2023-01-23T00:00:00"/>
    <n v="46"/>
    <n v="373.42"/>
    <n v="327.86"/>
    <n v="75"/>
    <n v="70"/>
    <s v="South"/>
    <s v="Electronics"/>
    <n v="46"/>
    <n v="373.42"/>
    <n v="17177.32"/>
    <n v="2095.7599999999984"/>
  </r>
  <r>
    <s v="ORD0024"/>
    <x v="1"/>
    <s v="UK"/>
    <x v="4"/>
    <s v="Offline"/>
    <s v="Medium"/>
    <d v="2023-01-24T00:00:00"/>
    <n v="325"/>
    <n v="436.56"/>
    <n v="130.37"/>
    <n v="106"/>
    <n v="70"/>
    <s v="West"/>
    <s v="Electronics"/>
    <n v="325"/>
    <n v="436.56"/>
    <n v="141882"/>
    <n v="99511.75"/>
  </r>
  <r>
    <s v="ORD0025"/>
    <x v="1"/>
    <s v="India"/>
    <x v="0"/>
    <s v="Offline"/>
    <s v="Medium"/>
    <d v="2023-01-25T00:00:00"/>
    <n v="185"/>
    <n v="219.66"/>
    <n v="11.11"/>
    <n v="106"/>
    <n v="83"/>
    <s v="West"/>
    <s v="Beverages"/>
    <n v="185"/>
    <n v="219.66"/>
    <n v="40637.1"/>
    <n v="38581.75"/>
  </r>
  <r>
    <s v="ORD0026"/>
    <x v="3"/>
    <s v="India"/>
    <x v="0"/>
    <s v="Offline"/>
    <s v="High"/>
    <d v="2023-01-26T00:00:00"/>
    <n v="470"/>
    <n v="26.61"/>
    <n v="63.21"/>
    <n v="75"/>
    <n v="83"/>
    <s v="South"/>
    <s v="Beverages"/>
    <n v="470"/>
    <n v="26.61"/>
    <n v="12506.699999999999"/>
    <n v="-17202"/>
  </r>
  <r>
    <s v="ORD0027"/>
    <x v="3"/>
    <s v="UK"/>
    <x v="3"/>
    <s v="Online"/>
    <s v="Medium"/>
    <d v="2023-01-27T00:00:00"/>
    <n v="293"/>
    <n v="85.03"/>
    <n v="91"/>
    <n v="75"/>
    <n v="69"/>
    <s v="South"/>
    <s v="Furniture"/>
    <n v="293"/>
    <n v="85.03"/>
    <n v="24913.79"/>
    <n v="-1749.2099999999991"/>
  </r>
  <r>
    <s v="ORD0028"/>
    <x v="3"/>
    <s v="UK"/>
    <x v="1"/>
    <s v="Online"/>
    <s v="Medium"/>
    <d v="2023-01-28T00:00:00"/>
    <n v="462"/>
    <n v="249.64520588235297"/>
    <n v="383.01"/>
    <n v="75"/>
    <n v="61"/>
    <s v="South"/>
    <s v="Food"/>
    <n v="462"/>
    <n v="249.64520588235297"/>
    <n v="115336.08511764708"/>
    <n v="-61614.53488235292"/>
  </r>
  <r>
    <s v="ORD0029"/>
    <x v="1"/>
    <s v="UK"/>
    <x v="0"/>
    <s v="Offline"/>
    <s v="Low"/>
    <d v="2023-01-29T00:00:00"/>
    <n v="470"/>
    <n v="328.37"/>
    <n v="230.07"/>
    <n v="106"/>
    <n v="83"/>
    <s v="West"/>
    <s v="Beverages"/>
    <n v="470"/>
    <n v="328.37"/>
    <n v="154333.9"/>
    <n v="46201"/>
  </r>
  <r>
    <s v="ORD0030"/>
    <x v="1"/>
    <s v="Germany"/>
    <x v="0"/>
    <s v="Online"/>
    <s v="Medium"/>
    <d v="2023-01-30T00:00:00"/>
    <n v="90"/>
    <n v="169.5"/>
    <n v="373.23"/>
    <n v="106"/>
    <n v="83"/>
    <s v="West"/>
    <s v="Beverages"/>
    <n v="90"/>
    <n v="169.5"/>
    <n v="15255"/>
    <n v="-18335.700000000004"/>
  </r>
  <r>
    <s v="ORD0031"/>
    <x v="1"/>
    <s v="India"/>
    <x v="0"/>
    <s v="Online"/>
    <s v="Low"/>
    <d v="2023-01-31T00:00:00"/>
    <n v="123"/>
    <n v="273.52999999999997"/>
    <n v="230.92"/>
    <n v="106"/>
    <n v="83"/>
    <s v="West"/>
    <s v="Beverages"/>
    <n v="123"/>
    <n v="273.52999999999997"/>
    <n v="33644.189999999995"/>
    <n v="5241.0299999999952"/>
  </r>
  <r>
    <s v="ORD0032"/>
    <x v="2"/>
    <s v="Germany"/>
    <x v="0"/>
    <s v="Online"/>
    <s v="High"/>
    <d v="2023-02-01T00:00:00"/>
    <n v="49"/>
    <n v="249.17"/>
    <n v="192.78"/>
    <n v="78"/>
    <n v="83"/>
    <s v="North"/>
    <s v="Beverages"/>
    <n v="49"/>
    <n v="249.17"/>
    <n v="12209.33"/>
    <n v="2763.1100000000006"/>
  </r>
  <r>
    <s v="ORD0033"/>
    <x v="1"/>
    <s v="UK"/>
    <x v="0"/>
    <s v="Online"/>
    <s v="Medium"/>
    <d v="2023-02-02T00:00:00"/>
    <n v="310"/>
    <n v="45.36"/>
    <n v="126.86"/>
    <n v="106"/>
    <n v="83"/>
    <s v="West"/>
    <s v="Beverages"/>
    <n v="310"/>
    <n v="45.36"/>
    <n v="14061.6"/>
    <n v="-25265"/>
  </r>
  <r>
    <s v="ORD0034"/>
    <x v="3"/>
    <s v="India"/>
    <x v="2"/>
    <s v="Online"/>
    <s v="Low"/>
    <d v="2023-02-03T00:00:00"/>
    <n v="233"/>
    <n v="204.61"/>
    <n v="243.34"/>
    <n v="75"/>
    <n v="67"/>
    <s v="South"/>
    <s v="Clothing"/>
    <n v="233"/>
    <n v="204.61"/>
    <n v="47674.130000000005"/>
    <n v="-9024.0899999999965"/>
  </r>
  <r>
    <s v="ORD0035"/>
    <x v="3"/>
    <s v="Germany"/>
    <x v="1"/>
    <s v="Online"/>
    <s v="High"/>
    <d v="2023-02-04T00:00:00"/>
    <n v="327"/>
    <n v="114.18"/>
    <n v="57.4"/>
    <n v="75"/>
    <n v="61"/>
    <s v="South"/>
    <s v="Food"/>
    <n v="327"/>
    <n v="114.18"/>
    <n v="37336.86"/>
    <n v="18567.060000000001"/>
  </r>
  <r>
    <s v="ORD0036"/>
    <x v="2"/>
    <s v="Germany"/>
    <x v="0"/>
    <s v="Online"/>
    <s v="Medium"/>
    <d v="2023-02-05T00:00:00"/>
    <n v="358"/>
    <n v="212.11"/>
    <n v="359.51"/>
    <n v="78"/>
    <n v="83"/>
    <s v="North"/>
    <s v="Beverages"/>
    <n v="358"/>
    <n v="212.11"/>
    <n v="75935.38"/>
    <n v="-52769.2"/>
  </r>
  <r>
    <s v="ORD0037"/>
    <x v="1"/>
    <s v="UK"/>
    <x v="1"/>
    <s v="Online"/>
    <s v="High"/>
    <d v="2023-02-06T00:00:00"/>
    <n v="124"/>
    <n v="249.64520588235297"/>
    <n v="332.07"/>
    <n v="106"/>
    <n v="61"/>
    <s v="West"/>
    <s v="Food"/>
    <n v="124"/>
    <n v="249.64520588235297"/>
    <n v="30956.005529411766"/>
    <n v="-10220.674470588234"/>
  </r>
  <r>
    <s v="ORD0038"/>
    <x v="2"/>
    <s v="India"/>
    <x v="2"/>
    <s v="Online"/>
    <s v="Medium"/>
    <d v="2023-02-07T00:00:00"/>
    <n v="195"/>
    <n v="421.02"/>
    <n v="128.38"/>
    <n v="78"/>
    <n v="67"/>
    <s v="North"/>
    <s v="Clothing"/>
    <n v="195"/>
    <n v="421.02"/>
    <n v="82098.899999999994"/>
    <n v="57064.799999999996"/>
  </r>
  <r>
    <s v="ORD0039"/>
    <x v="2"/>
    <s v="UK"/>
    <x v="2"/>
    <s v="Online"/>
    <s v="High"/>
    <d v="2023-02-08T00:00:00"/>
    <n v="255.90294117647059"/>
    <n v="91.23"/>
    <n v="381.21"/>
    <n v="78"/>
    <n v="67"/>
    <s v="North"/>
    <s v="Clothing"/>
    <n v="255.90294117647059"/>
    <n v="91.23"/>
    <n v="23346.025323529411"/>
    <n v="-74206.734882352946"/>
  </r>
  <r>
    <s v="ORD0040"/>
    <x v="0"/>
    <s v="India"/>
    <x v="1"/>
    <s v="Offline"/>
    <s v="High"/>
    <d v="2023-02-09T00:00:00"/>
    <n v="65"/>
    <n v="480.59"/>
    <n v="330.43"/>
    <n v="91"/>
    <n v="61"/>
    <s v="East"/>
    <s v="Food"/>
    <n v="65"/>
    <n v="480.59"/>
    <n v="31238.35"/>
    <n v="9760.3999999999978"/>
  </r>
  <r>
    <s v="ORD0041"/>
    <x v="0"/>
    <s v="Australia"/>
    <x v="4"/>
    <s v="Offline"/>
    <s v="Low"/>
    <d v="2023-02-10T00:00:00"/>
    <n v="49"/>
    <n v="210.87"/>
    <n v="267.19"/>
    <n v="91"/>
    <n v="70"/>
    <s v="East"/>
    <s v="Electronics"/>
    <n v="49"/>
    <n v="210.87"/>
    <n v="10332.630000000001"/>
    <n v="-2759.6799999999985"/>
  </r>
  <r>
    <s v="ORD0042"/>
    <x v="0"/>
    <s v="USA"/>
    <x v="3"/>
    <s v="Online"/>
    <s v="High"/>
    <d v="2023-02-11T00:00:00"/>
    <n v="363"/>
    <n v="423.89"/>
    <n v="50.46"/>
    <n v="91"/>
    <n v="69"/>
    <s v="East"/>
    <s v="Furniture"/>
    <n v="363"/>
    <n v="423.89"/>
    <n v="153872.07"/>
    <n v="135555.09"/>
  </r>
  <r>
    <s v="ORD0043"/>
    <x v="3"/>
    <s v="USA"/>
    <x v="4"/>
    <s v="Offline"/>
    <s v="Medium"/>
    <d v="2023-02-12T00:00:00"/>
    <n v="49"/>
    <n v="316.24"/>
    <n v="192.34"/>
    <n v="75"/>
    <n v="70"/>
    <s v="South"/>
    <s v="Electronics"/>
    <n v="49"/>
    <n v="316.24"/>
    <n v="15495.76"/>
    <n v="6071.1"/>
  </r>
  <r>
    <s v="ORD0044"/>
    <x v="1"/>
    <s v="USA"/>
    <x v="4"/>
    <s v="Offline"/>
    <s v="Medium"/>
    <d v="2023-02-13T00:00:00"/>
    <n v="356"/>
    <n v="369"/>
    <n v="203.43"/>
    <n v="106"/>
    <n v="70"/>
    <s v="West"/>
    <s v="Electronics"/>
    <n v="356"/>
    <n v="369"/>
    <n v="131364"/>
    <n v="58942.92"/>
  </r>
  <r>
    <s v="ORD0045"/>
    <x v="1"/>
    <s v="UK"/>
    <x v="4"/>
    <s v="Online"/>
    <s v="Low"/>
    <d v="2023-02-14T00:00:00"/>
    <n v="470"/>
    <n v="249.64520588235297"/>
    <n v="94.56"/>
    <n v="106"/>
    <n v="70"/>
    <s v="West"/>
    <s v="Electronics"/>
    <n v="470"/>
    <n v="249.64520588235297"/>
    <n v="117333.24676470589"/>
    <n v="72890.046764705883"/>
  </r>
  <r>
    <s v="ORD0046"/>
    <x v="1"/>
    <s v="Australia"/>
    <x v="0"/>
    <s v="Online"/>
    <s v="Medium"/>
    <d v="2023-02-15T00:00:00"/>
    <n v="246"/>
    <n v="254.9"/>
    <n v="33.83"/>
    <n v="106"/>
    <n v="83"/>
    <s v="West"/>
    <s v="Beverages"/>
    <n v="246"/>
    <n v="254.9"/>
    <n v="62705.4"/>
    <n v="54383.22"/>
  </r>
  <r>
    <s v="ORD0047"/>
    <x v="1"/>
    <s v="India"/>
    <x v="2"/>
    <s v="Online"/>
    <s v="Medium"/>
    <d v="2023-02-16T00:00:00"/>
    <n v="298"/>
    <n v="273.93"/>
    <n v="311.14"/>
    <n v="106"/>
    <n v="67"/>
    <s v="West"/>
    <s v="Clothing"/>
    <n v="298"/>
    <n v="273.93"/>
    <n v="81631.14"/>
    <n v="-11088.580000000002"/>
  </r>
  <r>
    <s v="ORD0048"/>
    <x v="0"/>
    <s v="Germany"/>
    <x v="4"/>
    <s v="Offline"/>
    <s v="Medium"/>
    <d v="2023-02-17T00:00:00"/>
    <n v="271"/>
    <n v="259.43"/>
    <n v="50.57"/>
    <n v="91"/>
    <n v="70"/>
    <s v="East"/>
    <s v="Electronics"/>
    <n v="271"/>
    <n v="259.43"/>
    <n v="70305.53"/>
    <n v="56601.06"/>
  </r>
  <r>
    <s v="ORD0049"/>
    <x v="3"/>
    <s v="India"/>
    <x v="2"/>
    <s v="Offline"/>
    <s v="High"/>
    <d v="2023-02-18T00:00:00"/>
    <n v="225"/>
    <n v="296.08999999999997"/>
    <n v="238.53"/>
    <n v="75"/>
    <n v="67"/>
    <s v="South"/>
    <s v="Clothing"/>
    <n v="225"/>
    <n v="296.08999999999997"/>
    <n v="66620.25"/>
    <n v="12951"/>
  </r>
  <r>
    <s v="ORD0050"/>
    <x v="1"/>
    <s v="Germany"/>
    <x v="1"/>
    <s v="Online"/>
    <s v="High"/>
    <d v="2023-02-19T00:00:00"/>
    <n v="156"/>
    <n v="19.55"/>
    <n v="374.71"/>
    <n v="106"/>
    <n v="61"/>
    <s v="West"/>
    <s v="Food"/>
    <n v="156"/>
    <n v="19.55"/>
    <n v="3049.8"/>
    <n v="-55404.959999999992"/>
  </r>
  <r>
    <s v="ORD0051"/>
    <x v="0"/>
    <s v="India"/>
    <x v="3"/>
    <s v="Online"/>
    <s v="Medium"/>
    <d v="2023-02-20T00:00:00"/>
    <n v="345"/>
    <n v="200.78"/>
    <n v="350.69"/>
    <n v="91"/>
    <n v="69"/>
    <s v="East"/>
    <s v="Furniture"/>
    <n v="345"/>
    <n v="200.78"/>
    <n v="69269.100000000006"/>
    <n v="-51718.95"/>
  </r>
  <r>
    <s v="ORD0052"/>
    <x v="3"/>
    <s v="Australia"/>
    <x v="1"/>
    <s v="Online"/>
    <s v="Low"/>
    <d v="2023-02-21T00:00:00"/>
    <n v="177"/>
    <n v="305.06"/>
    <n v="112.55"/>
    <n v="75"/>
    <n v="61"/>
    <s v="South"/>
    <s v="Food"/>
    <n v="177"/>
    <n v="305.06"/>
    <n v="53995.62"/>
    <n v="34074.270000000004"/>
  </r>
  <r>
    <s v="ORD0053"/>
    <x v="0"/>
    <s v="Germany"/>
    <x v="1"/>
    <s v="Offline"/>
    <s v="High"/>
    <d v="2023-02-22T00:00:00"/>
    <n v="101"/>
    <n v="300.87"/>
    <n v="340.88"/>
    <n v="91"/>
    <n v="61"/>
    <s v="East"/>
    <s v="Food"/>
    <n v="101"/>
    <n v="300.87"/>
    <n v="30387.87"/>
    <n v="-4041.0099999999984"/>
  </r>
  <r>
    <s v="ORD0054"/>
    <x v="1"/>
    <s v="UK"/>
    <x v="0"/>
    <s v="Offline"/>
    <s v="Low"/>
    <d v="2023-02-23T00:00:00"/>
    <n v="362"/>
    <n v="397.51"/>
    <n v="2.13"/>
    <n v="106"/>
    <n v="83"/>
    <s v="West"/>
    <s v="Beverages"/>
    <n v="362"/>
    <n v="397.51"/>
    <n v="143898.62"/>
    <n v="143127.56"/>
  </r>
  <r>
    <s v="ORD0055"/>
    <x v="0"/>
    <s v="India"/>
    <x v="3"/>
    <s v="Offline"/>
    <s v="Medium"/>
    <d v="2023-02-24T00:00:00"/>
    <n v="68"/>
    <n v="329.23"/>
    <n v="9.0399999999999991"/>
    <n v="91"/>
    <n v="69"/>
    <s v="East"/>
    <s v="Furniture"/>
    <n v="68"/>
    <n v="329.23"/>
    <n v="22387.64"/>
    <n v="21772.92"/>
  </r>
  <r>
    <s v="ORD0056"/>
    <x v="1"/>
    <s v="India"/>
    <x v="1"/>
    <s v="Offline"/>
    <s v="Medium"/>
    <d v="2023-02-25T00:00:00"/>
    <n v="68"/>
    <n v="496.11"/>
    <n v="241.82"/>
    <n v="106"/>
    <n v="61"/>
    <s v="West"/>
    <s v="Food"/>
    <n v="68"/>
    <n v="496.11"/>
    <n v="33735.480000000003"/>
    <n v="17291.720000000005"/>
  </r>
  <r>
    <s v="ORD0057"/>
    <x v="1"/>
    <s v="Germany"/>
    <x v="1"/>
    <s v="Online"/>
    <s v="High"/>
    <d v="2023-02-26T00:00:00"/>
    <n v="313"/>
    <n v="145.51"/>
    <n v="147.19"/>
    <n v="106"/>
    <n v="61"/>
    <s v="West"/>
    <s v="Food"/>
    <n v="313"/>
    <n v="145.51"/>
    <n v="45544.63"/>
    <n v="-525.84000000000378"/>
  </r>
  <r>
    <s v="ORD0058"/>
    <x v="2"/>
    <s v="UK"/>
    <x v="3"/>
    <s v="Online"/>
    <s v="Medium"/>
    <d v="2023-02-27T00:00:00"/>
    <n v="178"/>
    <n v="182.78"/>
    <n v="155.81"/>
    <n v="78"/>
    <n v="69"/>
    <s v="North"/>
    <s v="Furniture"/>
    <n v="178"/>
    <n v="182.78"/>
    <n v="32534.84"/>
    <n v="4800.66"/>
  </r>
  <r>
    <s v="ORD0059"/>
    <x v="0"/>
    <s v="UK"/>
    <x v="3"/>
    <s v="Online"/>
    <s v="High"/>
    <d v="2023-02-28T00:00:00"/>
    <n v="278"/>
    <n v="195"/>
    <n v="226.65"/>
    <n v="91"/>
    <n v="69"/>
    <s v="East"/>
    <s v="Furniture"/>
    <n v="278"/>
    <n v="195"/>
    <n v="54210"/>
    <n v="-8798.7000000000044"/>
  </r>
  <r>
    <s v="ORD0060"/>
    <x v="2"/>
    <s v="Australia"/>
    <x v="1"/>
    <s v="Online"/>
    <s v="Medium"/>
    <d v="2023-03-01T00:00:00"/>
    <n v="372"/>
    <n v="235.58"/>
    <n v="78.33"/>
    <n v="78"/>
    <n v="61"/>
    <s v="North"/>
    <s v="Food"/>
    <n v="372"/>
    <n v="235.58"/>
    <n v="87635.760000000009"/>
    <n v="58497.000000000015"/>
  </r>
  <r>
    <s v="ORD0061"/>
    <x v="0"/>
    <s v="UK"/>
    <x v="3"/>
    <s v="Offline"/>
    <s v="Medium"/>
    <d v="2023-03-02T00:00:00"/>
    <n v="54"/>
    <n v="418.82"/>
    <n v="86.28"/>
    <n v="91"/>
    <n v="69"/>
    <s v="East"/>
    <s v="Furniture"/>
    <n v="54"/>
    <n v="418.82"/>
    <n v="22616.28"/>
    <n v="17957.16"/>
  </r>
  <r>
    <s v="ORD0062"/>
    <x v="0"/>
    <s v="UK"/>
    <x v="1"/>
    <s v="Offline"/>
    <s v="High"/>
    <d v="2023-03-03T00:00:00"/>
    <n v="354"/>
    <n v="121.72"/>
    <n v="194.87"/>
    <n v="91"/>
    <n v="61"/>
    <s v="East"/>
    <s v="Food"/>
    <n v="354"/>
    <n v="121.72"/>
    <n v="43088.88"/>
    <n v="-25895.1"/>
  </r>
  <r>
    <s v="ORD0063"/>
    <x v="2"/>
    <s v="UK"/>
    <x v="1"/>
    <s v="Online"/>
    <s v="High"/>
    <d v="2023-03-04T00:00:00"/>
    <n v="190"/>
    <n v="389.12"/>
    <n v="302.19"/>
    <n v="78"/>
    <n v="61"/>
    <s v="North"/>
    <s v="Food"/>
    <n v="190"/>
    <n v="389.12"/>
    <n v="73932.800000000003"/>
    <n v="16516.700000000004"/>
  </r>
  <r>
    <s v="ORD0064"/>
    <x v="1"/>
    <s v="USA"/>
    <x v="0"/>
    <s v="Online"/>
    <s v="High"/>
    <d v="2023-03-05T00:00:00"/>
    <n v="179"/>
    <n v="205.63"/>
    <n v="248.56"/>
    <n v="106"/>
    <n v="83"/>
    <s v="West"/>
    <s v="Beverages"/>
    <n v="179"/>
    <n v="205.63"/>
    <n v="36807.769999999997"/>
    <n v="-7684.4700000000012"/>
  </r>
  <r>
    <s v="ORD0065"/>
    <x v="0"/>
    <s v="Australia"/>
    <x v="4"/>
    <s v="Offline"/>
    <s v="Medium"/>
    <d v="2023-03-06T00:00:00"/>
    <n v="365"/>
    <n v="302.92"/>
    <n v="120.35"/>
    <n v="91"/>
    <n v="70"/>
    <s v="East"/>
    <s v="Electronics"/>
    <n v="365"/>
    <n v="302.92"/>
    <n v="110565.8"/>
    <n v="66638.05"/>
  </r>
  <r>
    <s v="ORD0066"/>
    <x v="3"/>
    <s v="India"/>
    <x v="1"/>
    <s v="Online"/>
    <s v="Medium"/>
    <d v="2023-03-07T00:00:00"/>
    <n v="200"/>
    <n v="318.11"/>
    <n v="173.27"/>
    <n v="75"/>
    <n v="61"/>
    <s v="South"/>
    <s v="Food"/>
    <n v="200"/>
    <n v="318.11"/>
    <n v="63622"/>
    <n v="28968"/>
  </r>
  <r>
    <s v="ORD0067"/>
    <x v="1"/>
    <s v="Germany"/>
    <x v="2"/>
    <s v="Offline"/>
    <s v="Low"/>
    <d v="2023-03-08T00:00:00"/>
    <n v="164"/>
    <n v="189.56"/>
    <n v="69.92"/>
    <n v="106"/>
    <n v="67"/>
    <s v="West"/>
    <s v="Clothing"/>
    <n v="164"/>
    <n v="189.56"/>
    <n v="31087.84"/>
    <n v="19620.96"/>
  </r>
  <r>
    <s v="ORD0068"/>
    <x v="2"/>
    <s v="India"/>
    <x v="4"/>
    <s v="Online"/>
    <s v="High"/>
    <d v="2023-03-09T00:00:00"/>
    <n v="431"/>
    <n v="258.74"/>
    <n v="31.7"/>
    <n v="78"/>
    <n v="70"/>
    <s v="North"/>
    <s v="Electronics"/>
    <n v="431"/>
    <n v="258.74"/>
    <n v="111516.94"/>
    <n v="97854.24"/>
  </r>
  <r>
    <s v="ORD0069"/>
    <x v="1"/>
    <s v="Australia"/>
    <x v="4"/>
    <s v="Online"/>
    <s v="Medium"/>
    <d v="2023-03-10T00:00:00"/>
    <n v="197"/>
    <n v="209.45"/>
    <n v="313.51"/>
    <n v="106"/>
    <n v="70"/>
    <s v="West"/>
    <s v="Electronics"/>
    <n v="197"/>
    <n v="209.45"/>
    <n v="41261.649999999994"/>
    <n v="-20499.820000000007"/>
  </r>
  <r>
    <s v="ORD0070"/>
    <x v="3"/>
    <s v="Germany"/>
    <x v="4"/>
    <s v="Online"/>
    <s v="Medium"/>
    <d v="2023-03-11T00:00:00"/>
    <n v="16"/>
    <n v="39.22"/>
    <n v="107.62"/>
    <n v="75"/>
    <n v="70"/>
    <s v="South"/>
    <s v="Electronics"/>
    <n v="16"/>
    <n v="39.22"/>
    <n v="627.52"/>
    <n v="-1094.4000000000001"/>
  </r>
  <r>
    <s v="ORD0071"/>
    <x v="3"/>
    <s v="Australia"/>
    <x v="0"/>
    <s v="Online"/>
    <s v="High"/>
    <d v="2023-03-12T00:00:00"/>
    <n v="142"/>
    <n v="221.4"/>
    <n v="72.75"/>
    <n v="75"/>
    <n v="83"/>
    <s v="South"/>
    <s v="Beverages"/>
    <n v="142"/>
    <n v="221.4"/>
    <n v="31438.799999999999"/>
    <n v="21108.3"/>
  </r>
  <r>
    <s v="ORD0072"/>
    <x v="3"/>
    <s v="UK"/>
    <x v="1"/>
    <s v="Online"/>
    <s v="Low"/>
    <d v="2023-03-13T00:00:00"/>
    <n v="244"/>
    <n v="53.21"/>
    <n v="277.26"/>
    <n v="75"/>
    <n v="61"/>
    <s v="South"/>
    <s v="Food"/>
    <n v="244"/>
    <n v="53.21"/>
    <n v="12983.24"/>
    <n v="-54668.200000000004"/>
  </r>
  <r>
    <s v="ORD0073"/>
    <x v="2"/>
    <s v="Germany"/>
    <x v="0"/>
    <s v="Online"/>
    <s v="High"/>
    <d v="2023-03-14T00:00:00"/>
    <n v="54"/>
    <n v="205.49"/>
    <n v="247.98"/>
    <n v="78"/>
    <n v="83"/>
    <s v="North"/>
    <s v="Beverages"/>
    <n v="54"/>
    <n v="205.49"/>
    <n v="11096.460000000001"/>
    <n v="-2294.4599999999991"/>
  </r>
  <r>
    <s v="ORD0074"/>
    <x v="3"/>
    <s v="UK"/>
    <x v="1"/>
    <s v="Online"/>
    <s v="Low"/>
    <d v="2023-03-15T00:00:00"/>
    <n v="323"/>
    <n v="298.49"/>
    <n v="254.01"/>
    <n v="75"/>
    <n v="61"/>
    <s v="South"/>
    <s v="Food"/>
    <n v="323"/>
    <n v="298.49"/>
    <n v="96412.27"/>
    <n v="14367.040000000008"/>
  </r>
  <r>
    <s v="ORD0075"/>
    <x v="2"/>
    <s v="India"/>
    <x v="0"/>
    <s v="Offline"/>
    <s v="Medium"/>
    <d v="2023-03-16T00:00:00"/>
    <n v="258"/>
    <n v="291.81"/>
    <n v="93.1"/>
    <n v="78"/>
    <n v="83"/>
    <s v="North"/>
    <s v="Beverages"/>
    <n v="258"/>
    <n v="291.81"/>
    <n v="75286.98"/>
    <n v="51267.179999999993"/>
  </r>
  <r>
    <s v="ORD0076"/>
    <x v="3"/>
    <s v="India"/>
    <x v="0"/>
    <s v="Offline"/>
    <s v="Low"/>
    <d v="2023-03-17T00:00:00"/>
    <n v="40"/>
    <n v="333"/>
    <n v="94.59"/>
    <n v="75"/>
    <n v="83"/>
    <s v="South"/>
    <s v="Beverages"/>
    <n v="40"/>
    <n v="333"/>
    <n v="13320"/>
    <n v="9536.4"/>
  </r>
  <r>
    <s v="ORD0077"/>
    <x v="1"/>
    <s v="Germany"/>
    <x v="2"/>
    <s v="Offline"/>
    <s v="Medium"/>
    <d v="2023-03-18T00:00:00"/>
    <n v="32"/>
    <n v="52.15"/>
    <n v="89.88"/>
    <n v="106"/>
    <n v="67"/>
    <s v="West"/>
    <s v="Clothing"/>
    <n v="32"/>
    <n v="52.15"/>
    <n v="1668.8"/>
    <n v="-1207.3599999999999"/>
  </r>
  <r>
    <s v="ORD0078"/>
    <x v="1"/>
    <s v="Germany"/>
    <x v="0"/>
    <s v="Offline"/>
    <s v="High"/>
    <d v="2023-03-19T00:00:00"/>
    <n v="435"/>
    <n v="327.8"/>
    <n v="71.150000000000006"/>
    <n v="106"/>
    <n v="83"/>
    <s v="West"/>
    <s v="Beverages"/>
    <n v="435"/>
    <n v="327.8"/>
    <n v="142593"/>
    <n v="111642.75"/>
  </r>
  <r>
    <s v="ORD0079"/>
    <x v="0"/>
    <s v="Australia"/>
    <x v="3"/>
    <s v="Offline"/>
    <s v="High"/>
    <d v="2023-03-20T00:00:00"/>
    <n v="403"/>
    <n v="159.51"/>
    <n v="262.98"/>
    <n v="91"/>
    <n v="69"/>
    <s v="East"/>
    <s v="Furniture"/>
    <n v="403"/>
    <n v="159.51"/>
    <n v="64282.53"/>
    <n v="-41698.410000000003"/>
  </r>
  <r>
    <s v="ORD0080"/>
    <x v="1"/>
    <s v="Australia"/>
    <x v="2"/>
    <s v="Online"/>
    <s v="High"/>
    <d v="2023-03-21T00:00:00"/>
    <n v="169"/>
    <n v="249.64520588235297"/>
    <n v="339.51"/>
    <n v="106"/>
    <n v="67"/>
    <s v="West"/>
    <s v="Clothing"/>
    <n v="169"/>
    <n v="249.64520588235297"/>
    <n v="42190.039794117649"/>
    <n v="-15187.150205882346"/>
  </r>
  <r>
    <s v="ORD0081"/>
    <x v="0"/>
    <s v="UK"/>
    <x v="0"/>
    <s v="Online"/>
    <s v="Low"/>
    <d v="2023-03-22T00:00:00"/>
    <n v="372"/>
    <n v="429.7"/>
    <n v="290.27999999999997"/>
    <n v="91"/>
    <n v="83"/>
    <s v="East"/>
    <s v="Beverages"/>
    <n v="372"/>
    <n v="429.7"/>
    <n v="159848.4"/>
    <n v="51864.240000000005"/>
  </r>
  <r>
    <s v="ORD0082"/>
    <x v="1"/>
    <s v="Germany"/>
    <x v="4"/>
    <s v="Offline"/>
    <s v="Medium"/>
    <d v="2023-03-23T00:00:00"/>
    <n v="446"/>
    <n v="9.4700000000000006"/>
    <n v="317.25"/>
    <n v="106"/>
    <n v="70"/>
    <s v="West"/>
    <s v="Electronics"/>
    <n v="446"/>
    <n v="9.4700000000000006"/>
    <n v="4223.62"/>
    <n v="-137269.88"/>
  </r>
  <r>
    <s v="ORD0083"/>
    <x v="2"/>
    <s v="India"/>
    <x v="3"/>
    <s v="Online"/>
    <s v="High"/>
    <d v="2023-03-24T00:00:00"/>
    <n v="167"/>
    <n v="296.26"/>
    <n v="163.11000000000001"/>
    <n v="78"/>
    <n v="69"/>
    <s v="North"/>
    <s v="Furniture"/>
    <n v="167"/>
    <n v="296.26"/>
    <n v="49475.42"/>
    <n v="22236.049999999996"/>
  </r>
  <r>
    <s v="ORD0084"/>
    <x v="1"/>
    <s v="Australia"/>
    <x v="3"/>
    <s v="Offline"/>
    <s v="High"/>
    <d v="2023-03-25T00:00:00"/>
    <n v="48"/>
    <n v="301.36"/>
    <n v="262.32"/>
    <n v="106"/>
    <n v="69"/>
    <s v="West"/>
    <s v="Furniture"/>
    <n v="48"/>
    <n v="301.36"/>
    <n v="14465.28"/>
    <n v="1873.92"/>
  </r>
  <r>
    <s v="ORD0085"/>
    <x v="0"/>
    <s v="Australia"/>
    <x v="3"/>
    <s v="Offline"/>
    <s v="Medium"/>
    <d v="2023-03-26T00:00:00"/>
    <n v="424"/>
    <n v="201.35"/>
    <n v="142.99"/>
    <n v="91"/>
    <n v="69"/>
    <s v="East"/>
    <s v="Furniture"/>
    <n v="424"/>
    <n v="201.35"/>
    <n v="85372.4"/>
    <n v="24744.639999999992"/>
  </r>
  <r>
    <s v="ORD0086"/>
    <x v="0"/>
    <s v="India"/>
    <x v="2"/>
    <s v="Online"/>
    <s v="High"/>
    <d v="2023-03-27T00:00:00"/>
    <n v="91"/>
    <n v="122.33"/>
    <n v="211.15"/>
    <n v="91"/>
    <n v="67"/>
    <s v="East"/>
    <s v="Clothing"/>
    <n v="91"/>
    <n v="122.33"/>
    <n v="11132.03"/>
    <n v="-8082.6200000000008"/>
  </r>
  <r>
    <s v="ORD0087"/>
    <x v="3"/>
    <s v="Australia"/>
    <x v="0"/>
    <s v="Online"/>
    <s v="Medium"/>
    <d v="2023-03-28T00:00:00"/>
    <n v="365"/>
    <n v="121.16"/>
    <n v="193.69"/>
    <n v="75"/>
    <n v="83"/>
    <s v="South"/>
    <s v="Beverages"/>
    <n v="365"/>
    <n v="121.16"/>
    <n v="44223.4"/>
    <n v="-26473.450000000004"/>
  </r>
  <r>
    <s v="ORD0088"/>
    <x v="2"/>
    <s v="UK"/>
    <x v="0"/>
    <s v="Online"/>
    <s v="Medium"/>
    <d v="2023-03-29T00:00:00"/>
    <n v="267"/>
    <n v="442.44"/>
    <n v="72.400000000000006"/>
    <n v="78"/>
    <n v="83"/>
    <s v="North"/>
    <s v="Beverages"/>
    <n v="267"/>
    <n v="442.44"/>
    <n v="118131.48"/>
    <n v="98800.68"/>
  </r>
  <r>
    <s v="ORD0089"/>
    <x v="1"/>
    <s v="Germany"/>
    <x v="4"/>
    <s v="Offline"/>
    <s v="Medium"/>
    <d v="2023-03-30T00:00:00"/>
    <n v="215"/>
    <n v="223.8"/>
    <n v="156.06"/>
    <n v="106"/>
    <n v="70"/>
    <s v="West"/>
    <s v="Electronics"/>
    <n v="215"/>
    <n v="223.8"/>
    <n v="48117"/>
    <n v="14564.099999999999"/>
  </r>
  <r>
    <s v="ORD0090"/>
    <x v="3"/>
    <s v="India"/>
    <x v="4"/>
    <s v="Online"/>
    <s v="Medium"/>
    <d v="2023-03-31T00:00:00"/>
    <n v="86"/>
    <n v="168.79"/>
    <n v="385.6"/>
    <n v="75"/>
    <n v="70"/>
    <s v="South"/>
    <s v="Electronics"/>
    <n v="86"/>
    <n v="168.79"/>
    <n v="14515.939999999999"/>
    <n v="-18645.66"/>
  </r>
  <r>
    <s v="ORD0091"/>
    <x v="1"/>
    <s v="Germany"/>
    <x v="3"/>
    <s v="Offline"/>
    <s v="Medium"/>
    <d v="2023-04-01T00:00:00"/>
    <n v="486"/>
    <n v="227.14"/>
    <n v="100.93"/>
    <n v="106"/>
    <n v="69"/>
    <s v="West"/>
    <s v="Furniture"/>
    <n v="486"/>
    <n v="227.14"/>
    <n v="110390.04"/>
    <n v="61338.05999999999"/>
  </r>
  <r>
    <s v="ORD0092"/>
    <x v="1"/>
    <s v="Australia"/>
    <x v="4"/>
    <s v="Offline"/>
    <s v="Low"/>
    <d v="2023-04-02T00:00:00"/>
    <n v="21"/>
    <n v="249.64520588235297"/>
    <n v="55.25"/>
    <n v="106"/>
    <n v="70"/>
    <s v="West"/>
    <s v="Electronics"/>
    <n v="21"/>
    <n v="249.64520588235297"/>
    <n v="5242.5493235294125"/>
    <n v="4082.2993235294125"/>
  </r>
  <r>
    <s v="ORD0093"/>
    <x v="3"/>
    <s v="Australia"/>
    <x v="2"/>
    <s v="Offline"/>
    <s v="High"/>
    <d v="2023-04-03T00:00:00"/>
    <n v="304"/>
    <n v="77.150000000000006"/>
    <n v="168.6"/>
    <n v="75"/>
    <n v="67"/>
    <s v="South"/>
    <s v="Clothing"/>
    <n v="304"/>
    <n v="77.150000000000006"/>
    <n v="23453.600000000002"/>
    <n v="-27800.799999999999"/>
  </r>
  <r>
    <s v="ORD0094"/>
    <x v="3"/>
    <s v="India"/>
    <x v="0"/>
    <s v="Online"/>
    <s v="Low"/>
    <d v="2023-04-04T00:00:00"/>
    <n v="459"/>
    <n v="227.47"/>
    <n v="316.55"/>
    <n v="75"/>
    <n v="83"/>
    <s v="South"/>
    <s v="Beverages"/>
    <n v="459"/>
    <n v="227.47"/>
    <n v="104408.73"/>
    <n v="-40887.720000000016"/>
  </r>
  <r>
    <s v="ORD0095"/>
    <x v="3"/>
    <s v="UK"/>
    <x v="3"/>
    <s v="Online"/>
    <s v="High"/>
    <d v="2023-04-05T00:00:00"/>
    <n v="233"/>
    <n v="296"/>
    <n v="233.69"/>
    <n v="75"/>
    <n v="69"/>
    <s v="South"/>
    <s v="Furniture"/>
    <n v="233"/>
    <n v="296"/>
    <n v="68968"/>
    <n v="14518.230000000003"/>
  </r>
  <r>
    <s v="ORD0096"/>
    <x v="3"/>
    <s v="USA"/>
    <x v="4"/>
    <s v="Offline"/>
    <s v="Low"/>
    <d v="2023-04-06T00:00:00"/>
    <n v="22"/>
    <n v="474.55"/>
    <n v="273.02999999999997"/>
    <n v="75"/>
    <n v="70"/>
    <s v="South"/>
    <s v="Electronics"/>
    <n v="22"/>
    <n v="474.55"/>
    <n v="10440.1"/>
    <n v="4433.4400000000005"/>
  </r>
  <r>
    <s v="ORD0097"/>
    <x v="3"/>
    <s v="India"/>
    <x v="2"/>
    <s v="Online"/>
    <s v="Medium"/>
    <d v="2023-04-07T00:00:00"/>
    <n v="55"/>
    <n v="130"/>
    <n v="77.5"/>
    <n v="75"/>
    <n v="67"/>
    <s v="South"/>
    <s v="Clothing"/>
    <n v="55"/>
    <n v="130"/>
    <n v="7150"/>
    <n v="2887.5"/>
  </r>
  <r>
    <s v="ORD0098"/>
    <x v="1"/>
    <s v="USA"/>
    <x v="2"/>
    <s v="Online"/>
    <s v="High"/>
    <d v="2023-04-08T00:00:00"/>
    <n v="164"/>
    <n v="182.83"/>
    <n v="248.34"/>
    <n v="106"/>
    <n v="67"/>
    <s v="West"/>
    <s v="Clothing"/>
    <n v="164"/>
    <n v="182.83"/>
    <n v="29984.120000000003"/>
    <n v="-10743.64"/>
  </r>
  <r>
    <s v="ORD0099"/>
    <x v="3"/>
    <s v="USA"/>
    <x v="4"/>
    <s v="Online"/>
    <s v="High"/>
    <d v="2023-04-09T00:00:00"/>
    <n v="122"/>
    <n v="192.78"/>
    <n v="130.75"/>
    <n v="75"/>
    <n v="70"/>
    <s v="South"/>
    <s v="Electronics"/>
    <n v="122"/>
    <n v="192.78"/>
    <n v="23519.16"/>
    <n v="7567.66"/>
  </r>
  <r>
    <s v="ORD0100"/>
    <x v="2"/>
    <s v="UK"/>
    <x v="0"/>
    <s v="Offline"/>
    <s v="Low"/>
    <d v="2023-04-10T00:00:00"/>
    <n v="242"/>
    <n v="304.74"/>
    <n v="334.05"/>
    <n v="78"/>
    <n v="83"/>
    <s v="North"/>
    <s v="Beverages"/>
    <n v="242"/>
    <n v="304.74"/>
    <n v="73747.08"/>
    <n v="-7093.0200000000041"/>
  </r>
  <r>
    <s v="ORD0101"/>
    <x v="0"/>
    <s v="USA"/>
    <x v="4"/>
    <s v="Offline"/>
    <s v="Low"/>
    <d v="2023-04-11T00:00:00"/>
    <n v="26"/>
    <n v="181.58"/>
    <n v="252.46"/>
    <n v="91"/>
    <n v="70"/>
    <s v="East"/>
    <s v="Electronics"/>
    <n v="26"/>
    <n v="181.58"/>
    <n v="4721.08"/>
    <n v="-1842.88"/>
  </r>
  <r>
    <s v="ORD0102"/>
    <x v="3"/>
    <s v="USA"/>
    <x v="3"/>
    <s v="Online"/>
    <s v="High"/>
    <d v="2023-04-12T00:00:00"/>
    <n v="369"/>
    <n v="269.08999999999997"/>
    <n v="81.14"/>
    <n v="75"/>
    <n v="69"/>
    <s v="South"/>
    <s v="Furniture"/>
    <n v="369"/>
    <n v="269.08999999999997"/>
    <n v="99294.209999999992"/>
    <n v="69353.549999999988"/>
  </r>
  <r>
    <s v="ORD0103"/>
    <x v="3"/>
    <s v="UK"/>
    <x v="4"/>
    <s v="Offline"/>
    <s v="Low"/>
    <d v="2023-04-13T00:00:00"/>
    <n v="232"/>
    <n v="391.99"/>
    <n v="27.72"/>
    <n v="75"/>
    <n v="70"/>
    <s v="South"/>
    <s v="Electronics"/>
    <n v="232"/>
    <n v="391.99"/>
    <n v="90941.680000000008"/>
    <n v="84510.640000000014"/>
  </r>
  <r>
    <s v="ORD0104"/>
    <x v="1"/>
    <s v="USA"/>
    <x v="2"/>
    <s v="Online"/>
    <s v="Low"/>
    <d v="2023-04-14T00:00:00"/>
    <n v="363"/>
    <n v="354.17"/>
    <n v="18.97"/>
    <n v="106"/>
    <n v="67"/>
    <s v="West"/>
    <s v="Clothing"/>
    <n v="363"/>
    <n v="354.17"/>
    <n v="128563.71"/>
    <n v="121677.6"/>
  </r>
  <r>
    <s v="ORD0105"/>
    <x v="3"/>
    <s v="USA"/>
    <x v="4"/>
    <s v="Online"/>
    <s v="Low"/>
    <d v="2023-04-15T00:00:00"/>
    <n v="197"/>
    <n v="225.95"/>
    <n v="149.82"/>
    <n v="75"/>
    <n v="70"/>
    <s v="South"/>
    <s v="Electronics"/>
    <n v="197"/>
    <n v="225.95"/>
    <n v="44512.149999999994"/>
    <n v="14997.609999999997"/>
  </r>
  <r>
    <s v="ORD0106"/>
    <x v="3"/>
    <s v="USA"/>
    <x v="0"/>
    <s v="Online"/>
    <s v="Medium"/>
    <d v="2023-04-16T00:00:00"/>
    <n v="457"/>
    <n v="432.79"/>
    <n v="107.81"/>
    <n v="75"/>
    <n v="83"/>
    <s v="South"/>
    <s v="Beverages"/>
    <n v="457"/>
    <n v="432.79"/>
    <n v="197785.03"/>
    <n v="148515.85999999999"/>
  </r>
  <r>
    <s v="ORD0107"/>
    <x v="3"/>
    <s v="India"/>
    <x v="1"/>
    <s v="Online"/>
    <s v="Medium"/>
    <d v="2023-04-17T00:00:00"/>
    <n v="353"/>
    <n v="281.27999999999997"/>
    <n v="259.14"/>
    <n v="75"/>
    <n v="61"/>
    <s v="South"/>
    <s v="Food"/>
    <n v="353"/>
    <n v="281.27999999999997"/>
    <n v="99291.839999999997"/>
    <n v="7815.4199999999983"/>
  </r>
  <r>
    <s v="ORD0108"/>
    <x v="1"/>
    <s v="India"/>
    <x v="4"/>
    <s v="Offline"/>
    <s v="Low"/>
    <d v="2023-04-18T00:00:00"/>
    <n v="374"/>
    <n v="272.25"/>
    <n v="200.73"/>
    <n v="106"/>
    <n v="70"/>
    <s v="West"/>
    <s v="Electronics"/>
    <n v="374"/>
    <n v="272.25"/>
    <n v="101821.5"/>
    <n v="26748.48000000001"/>
  </r>
  <r>
    <s v="ORD0109"/>
    <x v="3"/>
    <s v="India"/>
    <x v="0"/>
    <s v="Offline"/>
    <s v="Low"/>
    <d v="2023-04-19T00:00:00"/>
    <n v="172"/>
    <n v="21.92"/>
    <n v="107.88"/>
    <n v="75"/>
    <n v="83"/>
    <s v="South"/>
    <s v="Beverages"/>
    <n v="172"/>
    <n v="21.92"/>
    <n v="3770.2400000000002"/>
    <n v="-14785.12"/>
  </r>
  <r>
    <s v="ORD0110"/>
    <x v="0"/>
    <s v="UK"/>
    <x v="0"/>
    <s v="Offline"/>
    <s v="Medium"/>
    <d v="2023-04-20T00:00:00"/>
    <n v="335"/>
    <n v="493.41"/>
    <n v="61.4"/>
    <n v="91"/>
    <n v="83"/>
    <s v="East"/>
    <s v="Beverages"/>
    <n v="335"/>
    <n v="493.41"/>
    <n v="165292.35"/>
    <n v="144723.35"/>
  </r>
  <r>
    <s v="ORD0111"/>
    <x v="1"/>
    <s v="Australia"/>
    <x v="2"/>
    <s v="Online"/>
    <s v="Medium"/>
    <d v="2023-04-21T00:00:00"/>
    <n v="476"/>
    <n v="65.87"/>
    <n v="52.63"/>
    <n v="106"/>
    <n v="67"/>
    <s v="West"/>
    <s v="Clothing"/>
    <n v="476"/>
    <n v="65.87"/>
    <n v="31354.120000000003"/>
    <n v="6302.2400000000016"/>
  </r>
  <r>
    <s v="ORD0112"/>
    <x v="0"/>
    <s v="USA"/>
    <x v="0"/>
    <s v="Online"/>
    <s v="High"/>
    <d v="2023-04-22T00:00:00"/>
    <n v="423"/>
    <n v="119.41"/>
    <n v="346.13"/>
    <n v="91"/>
    <n v="83"/>
    <s v="East"/>
    <s v="Beverages"/>
    <n v="423"/>
    <n v="119.41"/>
    <n v="50510.43"/>
    <n v="-95902.56"/>
  </r>
  <r>
    <s v="ORD0113"/>
    <x v="1"/>
    <s v="USA"/>
    <x v="0"/>
    <s v="Online"/>
    <s v="High"/>
    <d v="2023-04-23T00:00:00"/>
    <n v="464"/>
    <n v="30.59"/>
    <n v="98.9"/>
    <n v="106"/>
    <n v="83"/>
    <s v="West"/>
    <s v="Beverages"/>
    <n v="464"/>
    <n v="30.59"/>
    <n v="14193.76"/>
    <n v="-31695.840000000004"/>
  </r>
  <r>
    <s v="ORD0114"/>
    <x v="3"/>
    <s v="UK"/>
    <x v="0"/>
    <s v="Offline"/>
    <s v="Medium"/>
    <d v="2023-04-24T00:00:00"/>
    <n v="83"/>
    <n v="321.8"/>
    <n v="261.38"/>
    <n v="75"/>
    <n v="83"/>
    <s v="South"/>
    <s v="Beverages"/>
    <n v="83"/>
    <n v="321.8"/>
    <n v="26709.4"/>
    <n v="5014.8600000000006"/>
  </r>
  <r>
    <s v="ORD0115"/>
    <x v="0"/>
    <s v="USA"/>
    <x v="0"/>
    <s v="Online"/>
    <s v="Low"/>
    <d v="2023-04-25T00:00:00"/>
    <n v="242"/>
    <n v="116.23"/>
    <n v="324.64999999999998"/>
    <n v="91"/>
    <n v="83"/>
    <s v="East"/>
    <s v="Beverages"/>
    <n v="242"/>
    <n v="116.23"/>
    <n v="28127.66"/>
    <n v="-50437.639999999985"/>
  </r>
  <r>
    <s v="ORD0116"/>
    <x v="1"/>
    <s v="India"/>
    <x v="3"/>
    <s v="Offline"/>
    <s v="Low"/>
    <d v="2023-04-26T00:00:00"/>
    <n v="233"/>
    <n v="94.11"/>
    <n v="246.4"/>
    <n v="106"/>
    <n v="69"/>
    <s v="West"/>
    <s v="Furniture"/>
    <n v="233"/>
    <n v="94.11"/>
    <n v="21927.63"/>
    <n v="-35483.570000000007"/>
  </r>
  <r>
    <s v="ORD0117"/>
    <x v="2"/>
    <s v="Australia"/>
    <x v="3"/>
    <s v="Offline"/>
    <s v="Low"/>
    <d v="2023-04-27T00:00:00"/>
    <n v="491"/>
    <n v="48.84"/>
    <n v="344.11"/>
    <n v="78"/>
    <n v="69"/>
    <s v="North"/>
    <s v="Furniture"/>
    <n v="491"/>
    <n v="48.84"/>
    <n v="23980.440000000002"/>
    <n v="-144977.57"/>
  </r>
  <r>
    <s v="ORD0118"/>
    <x v="1"/>
    <s v="Germany"/>
    <x v="2"/>
    <s v="Offline"/>
    <s v="Low"/>
    <d v="2023-04-28T00:00:00"/>
    <n v="328"/>
    <n v="56.14"/>
    <n v="158.16999999999999"/>
    <n v="106"/>
    <n v="67"/>
    <s v="West"/>
    <s v="Clothing"/>
    <n v="328"/>
    <n v="56.14"/>
    <n v="18413.920000000002"/>
    <n v="-33465.839999999997"/>
  </r>
  <r>
    <s v="ORD0119"/>
    <x v="1"/>
    <s v="USA"/>
    <x v="4"/>
    <s v="Offline"/>
    <s v="High"/>
    <d v="2023-04-29T00:00:00"/>
    <n v="421"/>
    <n v="294.41000000000003"/>
    <n v="382.58"/>
    <n v="106"/>
    <n v="70"/>
    <s v="West"/>
    <s v="Electronics"/>
    <n v="421"/>
    <n v="294.41000000000003"/>
    <n v="123946.61000000002"/>
    <n v="-37119.569999999978"/>
  </r>
  <r>
    <s v="ORD0120"/>
    <x v="2"/>
    <s v="India"/>
    <x v="0"/>
    <s v="Offline"/>
    <s v="Medium"/>
    <d v="2023-04-30T00:00:00"/>
    <n v="69"/>
    <n v="345.66"/>
    <n v="54.99"/>
    <n v="78"/>
    <n v="83"/>
    <s v="North"/>
    <s v="Beverages"/>
    <n v="69"/>
    <n v="345.66"/>
    <n v="23850.54"/>
    <n v="20056.23"/>
  </r>
  <r>
    <s v="ORD0121"/>
    <x v="1"/>
    <s v="Germany"/>
    <x v="4"/>
    <s v="Offline"/>
    <s v="Low"/>
    <d v="2023-05-01T00:00:00"/>
    <n v="344"/>
    <n v="201.7"/>
    <n v="42.66"/>
    <n v="106"/>
    <n v="70"/>
    <s v="West"/>
    <s v="Electronics"/>
    <n v="344"/>
    <n v="201.7"/>
    <n v="69384.800000000003"/>
    <n v="54709.760000000002"/>
  </r>
  <r>
    <s v="ORD0122"/>
    <x v="1"/>
    <s v="Australia"/>
    <x v="4"/>
    <s v="Online"/>
    <s v="High"/>
    <d v="2023-05-02T00:00:00"/>
    <n v="231"/>
    <n v="242.55"/>
    <n v="264.16000000000003"/>
    <n v="106"/>
    <n v="70"/>
    <s v="West"/>
    <s v="Electronics"/>
    <n v="231"/>
    <n v="242.55"/>
    <n v="56029.05"/>
    <n v="-4991.9100000000035"/>
  </r>
  <r>
    <s v="ORD0123"/>
    <x v="3"/>
    <s v="Germany"/>
    <x v="2"/>
    <s v="Online"/>
    <s v="Low"/>
    <d v="2023-05-03T00:00:00"/>
    <n v="46"/>
    <n v="344.55"/>
    <n v="377.25"/>
    <n v="75"/>
    <n v="67"/>
    <s v="South"/>
    <s v="Clothing"/>
    <n v="46"/>
    <n v="344.55"/>
    <n v="15849.300000000001"/>
    <n v="-1504.1999999999989"/>
  </r>
  <r>
    <s v="ORD0124"/>
    <x v="0"/>
    <s v="India"/>
    <x v="0"/>
    <s v="Offline"/>
    <s v="Medium"/>
    <d v="2023-05-04T00:00:00"/>
    <n v="486"/>
    <n v="13.6"/>
    <n v="323.94"/>
    <n v="91"/>
    <n v="83"/>
    <s v="East"/>
    <s v="Beverages"/>
    <n v="486"/>
    <n v="13.6"/>
    <n v="6609.5999999999995"/>
    <n v="-150825.24"/>
  </r>
  <r>
    <s v="ORD0125"/>
    <x v="2"/>
    <s v="Germany"/>
    <x v="0"/>
    <s v="Offline"/>
    <s v="High"/>
    <d v="2023-05-05T00:00:00"/>
    <n v="287"/>
    <n v="164.95"/>
    <n v="32.409999999999997"/>
    <n v="78"/>
    <n v="83"/>
    <s v="North"/>
    <s v="Beverages"/>
    <n v="287"/>
    <n v="164.95"/>
    <n v="47340.649999999994"/>
    <n v="38038.979999999996"/>
  </r>
  <r>
    <s v="ORD0126"/>
    <x v="1"/>
    <s v="UK"/>
    <x v="1"/>
    <s v="Online"/>
    <s v="Medium"/>
    <d v="2023-05-06T00:00:00"/>
    <n v="205"/>
    <n v="486.68"/>
    <n v="113.19"/>
    <n v="106"/>
    <n v="61"/>
    <s v="West"/>
    <s v="Food"/>
    <n v="205"/>
    <n v="486.68"/>
    <n v="99769.4"/>
    <n v="76565.45"/>
  </r>
  <r>
    <s v="ORD0127"/>
    <x v="3"/>
    <s v="Germany"/>
    <x v="4"/>
    <s v="Offline"/>
    <s v="Medium"/>
    <d v="2023-05-07T00:00:00"/>
    <n v="413"/>
    <n v="292.16000000000003"/>
    <n v="372.27"/>
    <n v="75"/>
    <n v="70"/>
    <s v="South"/>
    <s v="Electronics"/>
    <n v="413"/>
    <n v="292.16000000000003"/>
    <n v="120662.08000000002"/>
    <n v="-33085.429999999964"/>
  </r>
  <r>
    <s v="ORD0128"/>
    <x v="2"/>
    <s v="USA"/>
    <x v="4"/>
    <s v="Offline"/>
    <s v="High"/>
    <d v="2023-05-08T00:00:00"/>
    <n v="361"/>
    <n v="130.84"/>
    <n v="102.72"/>
    <n v="78"/>
    <n v="70"/>
    <s v="North"/>
    <s v="Electronics"/>
    <n v="361"/>
    <n v="130.84"/>
    <n v="47233.24"/>
    <n v="10151.32"/>
  </r>
  <r>
    <s v="ORD0129"/>
    <x v="1"/>
    <s v="USA"/>
    <x v="3"/>
    <s v="Online"/>
    <s v="High"/>
    <d v="2023-05-09T00:00:00"/>
    <n v="493"/>
    <n v="263.26"/>
    <n v="312.91000000000003"/>
    <n v="106"/>
    <n v="69"/>
    <s v="West"/>
    <s v="Furniture"/>
    <n v="493"/>
    <n v="263.26"/>
    <n v="129787.18"/>
    <n v="-24477.450000000012"/>
  </r>
  <r>
    <s v="ORD0130"/>
    <x v="1"/>
    <s v="UK"/>
    <x v="1"/>
    <s v="Offline"/>
    <s v="High"/>
    <d v="2023-05-10T00:00:00"/>
    <n v="251"/>
    <n v="174.61"/>
    <n v="330.4"/>
    <n v="106"/>
    <n v="61"/>
    <s v="West"/>
    <s v="Food"/>
    <n v="251"/>
    <n v="174.61"/>
    <n v="43827.11"/>
    <n v="-39103.289999999994"/>
  </r>
  <r>
    <s v="ORD0131"/>
    <x v="1"/>
    <s v="India"/>
    <x v="3"/>
    <s v="Offline"/>
    <s v="High"/>
    <d v="2023-05-11T00:00:00"/>
    <n v="255.90294117647059"/>
    <n v="268.45999999999998"/>
    <n v="199.19"/>
    <n v="106"/>
    <n v="69"/>
    <s v="West"/>
    <s v="Furniture"/>
    <n v="255.90294117647059"/>
    <n v="268.45999999999998"/>
    <n v="68699.703588235294"/>
    <n v="17726.396735294118"/>
  </r>
  <r>
    <s v="ORD0132"/>
    <x v="2"/>
    <s v="USA"/>
    <x v="3"/>
    <s v="Offline"/>
    <s v="High"/>
    <d v="2023-05-12T00:00:00"/>
    <n v="228"/>
    <n v="67.239999999999995"/>
    <n v="155.77000000000001"/>
    <n v="78"/>
    <n v="69"/>
    <s v="North"/>
    <s v="Furniture"/>
    <n v="228"/>
    <n v="67.239999999999995"/>
    <n v="15330.72"/>
    <n v="-20184.840000000004"/>
  </r>
  <r>
    <s v="ORD0133"/>
    <x v="2"/>
    <s v="Australia"/>
    <x v="3"/>
    <s v="Online"/>
    <s v="High"/>
    <d v="2023-05-13T00:00:00"/>
    <n v="201"/>
    <n v="70.69"/>
    <n v="181.15"/>
    <n v="78"/>
    <n v="69"/>
    <s v="North"/>
    <s v="Furniture"/>
    <n v="201"/>
    <n v="70.69"/>
    <n v="14208.689999999999"/>
    <n v="-22202.460000000003"/>
  </r>
  <r>
    <s v="ORD0134"/>
    <x v="2"/>
    <s v="USA"/>
    <x v="2"/>
    <s v="Online"/>
    <s v="High"/>
    <d v="2023-05-14T00:00:00"/>
    <n v="26"/>
    <n v="76.05"/>
    <n v="92.33"/>
    <n v="78"/>
    <n v="67"/>
    <s v="North"/>
    <s v="Clothing"/>
    <n v="26"/>
    <n v="76.05"/>
    <n v="1977.3"/>
    <n v="-423.28"/>
  </r>
  <r>
    <s v="ORD0135"/>
    <x v="0"/>
    <s v="USA"/>
    <x v="2"/>
    <s v="Online"/>
    <s v="Low"/>
    <d v="2023-05-15T00:00:00"/>
    <n v="21"/>
    <n v="470.21"/>
    <n v="355.98"/>
    <n v="91"/>
    <n v="67"/>
    <s v="East"/>
    <s v="Clothing"/>
    <n v="21"/>
    <n v="470.21"/>
    <n v="9874.41"/>
    <n v="2398.83"/>
  </r>
  <r>
    <s v="ORD0136"/>
    <x v="2"/>
    <s v="India"/>
    <x v="3"/>
    <s v="Offline"/>
    <s v="Medium"/>
    <d v="2023-05-16T00:00:00"/>
    <n v="415"/>
    <n v="367.78"/>
    <n v="181.35"/>
    <n v="78"/>
    <n v="69"/>
    <s v="North"/>
    <s v="Furniture"/>
    <n v="415"/>
    <n v="367.78"/>
    <n v="152628.69999999998"/>
    <n v="77368.449999999983"/>
  </r>
  <r>
    <s v="ORD0137"/>
    <x v="2"/>
    <s v="Germany"/>
    <x v="1"/>
    <s v="Offline"/>
    <s v="High"/>
    <d v="2023-05-17T00:00:00"/>
    <n v="410"/>
    <n v="85.38"/>
    <n v="353.22"/>
    <n v="78"/>
    <n v="61"/>
    <s v="North"/>
    <s v="Food"/>
    <n v="410"/>
    <n v="85.38"/>
    <n v="35005.799999999996"/>
    <n v="-109814.40000000002"/>
  </r>
  <r>
    <s v="ORD0138"/>
    <x v="2"/>
    <s v="USA"/>
    <x v="4"/>
    <s v="Online"/>
    <s v="Low"/>
    <d v="2023-05-18T00:00:00"/>
    <n v="403"/>
    <n v="98.23"/>
    <n v="44.07"/>
    <n v="78"/>
    <n v="70"/>
    <s v="North"/>
    <s v="Electronics"/>
    <n v="403"/>
    <n v="98.23"/>
    <n v="39586.69"/>
    <n v="21826.480000000003"/>
  </r>
  <r>
    <s v="ORD0139"/>
    <x v="0"/>
    <s v="UK"/>
    <x v="1"/>
    <s v="Offline"/>
    <s v="Low"/>
    <d v="2023-05-19T00:00:00"/>
    <n v="383"/>
    <n v="366.76"/>
    <n v="395.33"/>
    <n v="91"/>
    <n v="61"/>
    <s v="East"/>
    <s v="Food"/>
    <n v="383"/>
    <n v="366.76"/>
    <n v="140469.07999999999"/>
    <n v="-10942.309999999998"/>
  </r>
  <r>
    <s v="ORD0140"/>
    <x v="2"/>
    <s v="Germany"/>
    <x v="0"/>
    <s v="Offline"/>
    <s v="Low"/>
    <d v="2023-05-20T00:00:00"/>
    <n v="202"/>
    <n v="82.3"/>
    <n v="178.42"/>
    <n v="78"/>
    <n v="83"/>
    <s v="North"/>
    <s v="Beverages"/>
    <n v="202"/>
    <n v="82.3"/>
    <n v="16624.599999999999"/>
    <n v="-19416.239999999998"/>
  </r>
  <r>
    <s v="ORD0141"/>
    <x v="1"/>
    <s v="Australia"/>
    <x v="2"/>
    <s v="Offline"/>
    <s v="Medium"/>
    <d v="2023-05-21T00:00:00"/>
    <n v="31"/>
    <n v="121.11"/>
    <n v="21.04"/>
    <n v="106"/>
    <n v="67"/>
    <s v="West"/>
    <s v="Clothing"/>
    <n v="31"/>
    <n v="121.11"/>
    <n v="3754.41"/>
    <n v="3102.17"/>
  </r>
  <r>
    <s v="ORD0142"/>
    <x v="2"/>
    <s v="India"/>
    <x v="4"/>
    <s v="Offline"/>
    <s v="High"/>
    <d v="2023-05-22T00:00:00"/>
    <n v="483"/>
    <n v="481.86"/>
    <n v="17.13"/>
    <n v="78"/>
    <n v="70"/>
    <s v="North"/>
    <s v="Electronics"/>
    <n v="483"/>
    <n v="481.86"/>
    <n v="232738.38"/>
    <n v="224464.59"/>
  </r>
  <r>
    <s v="ORD0143"/>
    <x v="1"/>
    <s v="Australia"/>
    <x v="4"/>
    <s v="Offline"/>
    <s v="Low"/>
    <d v="2023-05-23T00:00:00"/>
    <n v="129"/>
    <n v="131.38"/>
    <n v="298.99"/>
    <n v="106"/>
    <n v="70"/>
    <s v="West"/>
    <s v="Electronics"/>
    <n v="129"/>
    <n v="131.38"/>
    <n v="16948.02"/>
    <n v="-21621.69"/>
  </r>
  <r>
    <s v="ORD0144"/>
    <x v="1"/>
    <s v="Germany"/>
    <x v="0"/>
    <s v="Online"/>
    <s v="Medium"/>
    <d v="2023-05-24T00:00:00"/>
    <n v="219"/>
    <n v="332.51"/>
    <n v="264.3"/>
    <n v="106"/>
    <n v="83"/>
    <s v="West"/>
    <s v="Beverages"/>
    <n v="219"/>
    <n v="332.51"/>
    <n v="72819.69"/>
    <n v="14937.989999999998"/>
  </r>
  <r>
    <s v="ORD0145"/>
    <x v="1"/>
    <s v="Germany"/>
    <x v="0"/>
    <s v="Offline"/>
    <s v="Medium"/>
    <d v="2023-05-25T00:00:00"/>
    <n v="315"/>
    <n v="489.42"/>
    <n v="321.25"/>
    <n v="106"/>
    <n v="83"/>
    <s v="West"/>
    <s v="Beverages"/>
    <n v="315"/>
    <n v="489.42"/>
    <n v="154167.30000000002"/>
    <n v="52973.550000000017"/>
  </r>
  <r>
    <s v="ORD0146"/>
    <x v="0"/>
    <s v="Germany"/>
    <x v="3"/>
    <s v="Online"/>
    <s v="Medium"/>
    <d v="2023-05-26T00:00:00"/>
    <n v="279"/>
    <n v="190.28"/>
    <n v="43.94"/>
    <n v="91"/>
    <n v="69"/>
    <s v="East"/>
    <s v="Furniture"/>
    <n v="279"/>
    <n v="190.28"/>
    <n v="53088.12"/>
    <n v="40828.86"/>
  </r>
  <r>
    <s v="ORD0147"/>
    <x v="0"/>
    <s v="Australia"/>
    <x v="2"/>
    <s v="Offline"/>
    <s v="Low"/>
    <d v="2023-05-27T00:00:00"/>
    <n v="201"/>
    <n v="13.67"/>
    <n v="16.16"/>
    <n v="91"/>
    <n v="67"/>
    <s v="East"/>
    <s v="Clothing"/>
    <n v="201"/>
    <n v="13.67"/>
    <n v="2747.67"/>
    <n v="-500.48999999999978"/>
  </r>
  <r>
    <s v="ORD0148"/>
    <x v="0"/>
    <s v="Germany"/>
    <x v="2"/>
    <s v="Online"/>
    <s v="High"/>
    <d v="2023-05-28T00:00:00"/>
    <n v="184"/>
    <n v="125.85"/>
    <n v="204.41"/>
    <n v="91"/>
    <n v="67"/>
    <s v="East"/>
    <s v="Clothing"/>
    <n v="184"/>
    <n v="125.85"/>
    <n v="23156.399999999998"/>
    <n v="-14455.040000000005"/>
  </r>
  <r>
    <s v="ORD0149"/>
    <x v="2"/>
    <s v="Australia"/>
    <x v="1"/>
    <s v="Offline"/>
    <s v="Low"/>
    <d v="2023-05-29T00:00:00"/>
    <n v="294"/>
    <n v="416.28"/>
    <n v="156.26"/>
    <n v="78"/>
    <n v="61"/>
    <s v="North"/>
    <s v="Food"/>
    <n v="294"/>
    <n v="416.28"/>
    <n v="122386.31999999999"/>
    <n v="76445.88"/>
  </r>
  <r>
    <s v="ORD0150"/>
    <x v="1"/>
    <s v="Germany"/>
    <x v="3"/>
    <s v="Online"/>
    <s v="Low"/>
    <d v="2023-05-30T00:00:00"/>
    <n v="213"/>
    <n v="432.98"/>
    <n v="185.85"/>
    <n v="106"/>
    <n v="69"/>
    <s v="West"/>
    <s v="Furniture"/>
    <n v="213"/>
    <n v="432.98"/>
    <n v="92224.74"/>
    <n v="52638.69000000001"/>
  </r>
  <r>
    <s v="ORD0151"/>
    <x v="0"/>
    <s v="UK"/>
    <x v="3"/>
    <s v="Offline"/>
    <s v="High"/>
    <d v="2023-05-31T00:00:00"/>
    <n v="173"/>
    <n v="385.42"/>
    <n v="396.65"/>
    <n v="91"/>
    <n v="69"/>
    <s v="East"/>
    <s v="Furniture"/>
    <n v="173"/>
    <n v="385.42"/>
    <n v="66677.66"/>
    <n v="-1942.7899999999936"/>
  </r>
  <r>
    <s v="ORD0152"/>
    <x v="0"/>
    <s v="Germany"/>
    <x v="3"/>
    <s v="Online"/>
    <s v="High"/>
    <d v="2023-06-01T00:00:00"/>
    <n v="260"/>
    <n v="60.99"/>
    <n v="388.36"/>
    <n v="91"/>
    <n v="69"/>
    <s v="East"/>
    <s v="Furniture"/>
    <n v="260"/>
    <n v="60.99"/>
    <n v="15857.4"/>
    <n v="-85116.200000000012"/>
  </r>
  <r>
    <s v="ORD0153"/>
    <x v="2"/>
    <s v="Australia"/>
    <x v="3"/>
    <s v="Offline"/>
    <s v="High"/>
    <d v="2023-06-02T00:00:00"/>
    <n v="236"/>
    <n v="398.78"/>
    <n v="377.04"/>
    <n v="78"/>
    <n v="69"/>
    <s v="North"/>
    <s v="Furniture"/>
    <n v="236"/>
    <n v="398.78"/>
    <n v="94112.079999999987"/>
    <n v="5130.6399999999849"/>
  </r>
  <r>
    <s v="ORD0154"/>
    <x v="0"/>
    <s v="USA"/>
    <x v="2"/>
    <s v="Online"/>
    <s v="Medium"/>
    <d v="2023-06-03T00:00:00"/>
    <n v="445"/>
    <n v="459.75"/>
    <n v="313.97000000000003"/>
    <n v="91"/>
    <n v="67"/>
    <s v="East"/>
    <s v="Clothing"/>
    <n v="445"/>
    <n v="459.75"/>
    <n v="204588.75"/>
    <n v="64872.099999999977"/>
  </r>
  <r>
    <s v="ORD0155"/>
    <x v="2"/>
    <s v="Germany"/>
    <x v="2"/>
    <s v="Offline"/>
    <s v="High"/>
    <d v="2023-06-04T00:00:00"/>
    <n v="390"/>
    <n v="302.3"/>
    <n v="143.22999999999999"/>
    <n v="78"/>
    <n v="67"/>
    <s v="North"/>
    <s v="Clothing"/>
    <n v="390"/>
    <n v="302.3"/>
    <n v="117897"/>
    <n v="62037.3"/>
  </r>
  <r>
    <s v="ORD0156"/>
    <x v="3"/>
    <s v="USA"/>
    <x v="3"/>
    <s v="Online"/>
    <s v="Low"/>
    <d v="2023-06-05T00:00:00"/>
    <n v="469"/>
    <n v="470.73"/>
    <n v="166.03"/>
    <n v="75"/>
    <n v="69"/>
    <s v="South"/>
    <s v="Furniture"/>
    <n v="469"/>
    <n v="470.73"/>
    <n v="220772.37"/>
    <n v="142904.29999999999"/>
  </r>
  <r>
    <s v="ORD0157"/>
    <x v="0"/>
    <s v="UK"/>
    <x v="1"/>
    <s v="Online"/>
    <s v="High"/>
    <d v="2023-06-06T00:00:00"/>
    <n v="16"/>
    <n v="249.64520588235297"/>
    <n v="220.75"/>
    <n v="91"/>
    <n v="61"/>
    <s v="East"/>
    <s v="Food"/>
    <n v="16"/>
    <n v="249.64520588235297"/>
    <n v="3994.3232941176475"/>
    <n v="462.32329411764749"/>
  </r>
  <r>
    <s v="ORD0158"/>
    <x v="3"/>
    <s v="India"/>
    <x v="4"/>
    <s v="Offline"/>
    <s v="Low"/>
    <d v="2023-06-07T00:00:00"/>
    <n v="38"/>
    <n v="335.15"/>
    <n v="332.55"/>
    <n v="75"/>
    <n v="70"/>
    <s v="South"/>
    <s v="Electronics"/>
    <n v="38"/>
    <n v="335.15"/>
    <n v="12735.699999999999"/>
    <n v="98.799999999999272"/>
  </r>
  <r>
    <s v="ORD0159"/>
    <x v="2"/>
    <s v="UK"/>
    <x v="0"/>
    <s v="Offline"/>
    <s v="Medium"/>
    <d v="2023-06-08T00:00:00"/>
    <n v="404"/>
    <n v="290.70999999999998"/>
    <n v="29.35"/>
    <n v="78"/>
    <n v="83"/>
    <s v="North"/>
    <s v="Beverages"/>
    <n v="404"/>
    <n v="290.70999999999998"/>
    <n v="117446.84"/>
    <n v="105589.44"/>
  </r>
  <r>
    <s v="ORD0160"/>
    <x v="1"/>
    <s v="Germany"/>
    <x v="1"/>
    <s v="Online"/>
    <s v="Low"/>
    <d v="2023-06-09T00:00:00"/>
    <n v="42"/>
    <n v="177.54"/>
    <n v="170.87"/>
    <n v="106"/>
    <n v="61"/>
    <s v="West"/>
    <s v="Food"/>
    <n v="42"/>
    <n v="177.54"/>
    <n v="7456.6799999999994"/>
    <n v="280.13999999999942"/>
  </r>
  <r>
    <s v="ORD0161"/>
    <x v="0"/>
    <s v="USA"/>
    <x v="3"/>
    <s v="Offline"/>
    <s v="Low"/>
    <d v="2023-06-10T00:00:00"/>
    <n v="143"/>
    <n v="83.85"/>
    <n v="34.880000000000003"/>
    <n v="91"/>
    <n v="69"/>
    <s v="East"/>
    <s v="Furniture"/>
    <n v="143"/>
    <n v="83.85"/>
    <n v="11990.55"/>
    <n v="7002.7099999999991"/>
  </r>
  <r>
    <s v="ORD0162"/>
    <x v="2"/>
    <s v="USA"/>
    <x v="2"/>
    <s v="Online"/>
    <s v="High"/>
    <d v="2023-06-11T00:00:00"/>
    <n v="376"/>
    <n v="304.45"/>
    <n v="206.83"/>
    <n v="78"/>
    <n v="67"/>
    <s v="North"/>
    <s v="Clothing"/>
    <n v="376"/>
    <n v="304.45"/>
    <n v="114473.2"/>
    <n v="36705.119999999995"/>
  </r>
  <r>
    <s v="ORD0163"/>
    <x v="1"/>
    <s v="Australia"/>
    <x v="4"/>
    <s v="Online"/>
    <s v="High"/>
    <d v="2023-06-12T00:00:00"/>
    <n v="88"/>
    <n v="162.47"/>
    <n v="359.76"/>
    <n v="106"/>
    <n v="70"/>
    <s v="West"/>
    <s v="Electronics"/>
    <n v="88"/>
    <n v="162.47"/>
    <n v="14297.36"/>
    <n v="-17361.519999999997"/>
  </r>
  <r>
    <s v="ORD0164"/>
    <x v="1"/>
    <s v="USA"/>
    <x v="0"/>
    <s v="Online"/>
    <s v="Low"/>
    <d v="2023-06-13T00:00:00"/>
    <n v="425"/>
    <n v="433.89"/>
    <n v="313.43"/>
    <n v="106"/>
    <n v="83"/>
    <s v="West"/>
    <s v="Beverages"/>
    <n v="425"/>
    <n v="433.89"/>
    <n v="184403.25"/>
    <n v="51195.5"/>
  </r>
  <r>
    <s v="ORD0165"/>
    <x v="3"/>
    <s v="Australia"/>
    <x v="0"/>
    <s v="Offline"/>
    <s v="High"/>
    <d v="2023-06-14T00:00:00"/>
    <n v="444"/>
    <n v="496.7"/>
    <n v="92.68"/>
    <n v="75"/>
    <n v="83"/>
    <s v="South"/>
    <s v="Beverages"/>
    <n v="444"/>
    <n v="496.7"/>
    <n v="220534.8"/>
    <n v="179384.87999999998"/>
  </r>
  <r>
    <s v="ORD0166"/>
    <x v="2"/>
    <s v="India"/>
    <x v="1"/>
    <s v="Online"/>
    <s v="Medium"/>
    <d v="2023-06-15T00:00:00"/>
    <n v="468"/>
    <n v="377.45"/>
    <n v="390.44"/>
    <n v="78"/>
    <n v="61"/>
    <s v="North"/>
    <s v="Food"/>
    <n v="468"/>
    <n v="377.45"/>
    <n v="176646.6"/>
    <n v="-6079.320000000007"/>
  </r>
  <r>
    <s v="ORD0167"/>
    <x v="1"/>
    <s v="Germany"/>
    <x v="3"/>
    <s v="Online"/>
    <s v="Medium"/>
    <d v="2023-06-16T00:00:00"/>
    <n v="67"/>
    <n v="49.79"/>
    <n v="267.61"/>
    <n v="106"/>
    <n v="69"/>
    <s v="West"/>
    <s v="Furniture"/>
    <n v="67"/>
    <n v="49.79"/>
    <n v="3335.93"/>
    <n v="-14593.940000000002"/>
  </r>
  <r>
    <s v="ORD0168"/>
    <x v="0"/>
    <s v="Australia"/>
    <x v="4"/>
    <s v="Offline"/>
    <s v="High"/>
    <d v="2023-06-17T00:00:00"/>
    <n v="480"/>
    <n v="147.9"/>
    <n v="6.15"/>
    <n v="91"/>
    <n v="70"/>
    <s v="East"/>
    <s v="Electronics"/>
    <n v="480"/>
    <n v="147.9"/>
    <n v="70992"/>
    <n v="68040"/>
  </r>
  <r>
    <s v="ORD0169"/>
    <x v="0"/>
    <s v="India"/>
    <x v="3"/>
    <s v="Offline"/>
    <s v="Medium"/>
    <d v="2023-06-18T00:00:00"/>
    <n v="35"/>
    <n v="59.01"/>
    <n v="103.65"/>
    <n v="91"/>
    <n v="69"/>
    <s v="East"/>
    <s v="Furniture"/>
    <n v="35"/>
    <n v="59.01"/>
    <n v="2065.35"/>
    <n v="-1562.4"/>
  </r>
  <r>
    <s v="ORD0170"/>
    <x v="3"/>
    <s v="USA"/>
    <x v="4"/>
    <s v="Offline"/>
    <s v="High"/>
    <d v="2023-06-19T00:00:00"/>
    <n v="491"/>
    <n v="327"/>
    <n v="105.76"/>
    <n v="75"/>
    <n v="70"/>
    <s v="South"/>
    <s v="Electronics"/>
    <n v="491"/>
    <n v="327"/>
    <n v="160557"/>
    <n v="108628.84"/>
  </r>
  <r>
    <s v="ORD0171"/>
    <x v="1"/>
    <s v="USA"/>
    <x v="1"/>
    <s v="Offline"/>
    <s v="Low"/>
    <d v="2023-06-20T00:00:00"/>
    <n v="439"/>
    <n v="383.77"/>
    <n v="29.56"/>
    <n v="106"/>
    <n v="61"/>
    <s v="West"/>
    <s v="Food"/>
    <n v="439"/>
    <n v="383.77"/>
    <n v="168475.03"/>
    <n v="155498.19"/>
  </r>
  <r>
    <s v="ORD0172"/>
    <x v="2"/>
    <s v="India"/>
    <x v="1"/>
    <s v="Online"/>
    <s v="Low"/>
    <d v="2023-06-21T00:00:00"/>
    <n v="235"/>
    <n v="463.21"/>
    <n v="384.01"/>
    <n v="78"/>
    <n v="61"/>
    <s v="North"/>
    <s v="Food"/>
    <n v="235"/>
    <n v="463.21"/>
    <n v="108854.34999999999"/>
    <n v="18612"/>
  </r>
  <r>
    <s v="ORD0173"/>
    <x v="0"/>
    <s v="USA"/>
    <x v="0"/>
    <s v="Online"/>
    <s v="Medium"/>
    <d v="2023-06-22T00:00:00"/>
    <n v="294"/>
    <n v="221.9"/>
    <n v="192.35"/>
    <n v="91"/>
    <n v="83"/>
    <s v="East"/>
    <s v="Beverages"/>
    <n v="294"/>
    <n v="221.9"/>
    <n v="65238.6"/>
    <n v="8687.6999999999971"/>
  </r>
  <r>
    <s v="ORD0174"/>
    <x v="1"/>
    <s v="India"/>
    <x v="3"/>
    <s v="Online"/>
    <s v="High"/>
    <d v="2023-06-23T00:00:00"/>
    <n v="13"/>
    <n v="451.18"/>
    <n v="358.53"/>
    <n v="106"/>
    <n v="69"/>
    <s v="West"/>
    <s v="Furniture"/>
    <n v="13"/>
    <n v="451.18"/>
    <n v="5865.34"/>
    <n v="1204.4500000000007"/>
  </r>
  <r>
    <s v="ORD0175"/>
    <x v="1"/>
    <s v="Australia"/>
    <x v="0"/>
    <s v="Online"/>
    <s v="High"/>
    <d v="2023-06-24T00:00:00"/>
    <n v="474"/>
    <n v="439.56"/>
    <n v="130.24"/>
    <n v="106"/>
    <n v="83"/>
    <s v="West"/>
    <s v="Beverages"/>
    <n v="474"/>
    <n v="439.56"/>
    <n v="208351.44"/>
    <n v="146617.68"/>
  </r>
  <r>
    <s v="ORD0176"/>
    <x v="3"/>
    <s v="Australia"/>
    <x v="3"/>
    <s v="Offline"/>
    <s v="Medium"/>
    <d v="2023-06-25T00:00:00"/>
    <n v="108"/>
    <n v="162.01"/>
    <n v="51.84"/>
    <n v="75"/>
    <n v="69"/>
    <s v="South"/>
    <s v="Furniture"/>
    <n v="108"/>
    <n v="162.01"/>
    <n v="17497.079999999998"/>
    <n v="11898.359999999997"/>
  </r>
  <r>
    <s v="ORD0177"/>
    <x v="0"/>
    <s v="India"/>
    <x v="0"/>
    <s v="Online"/>
    <s v="Low"/>
    <d v="2023-06-26T00:00:00"/>
    <n v="406"/>
    <n v="435.11"/>
    <n v="190.79"/>
    <n v="91"/>
    <n v="83"/>
    <s v="East"/>
    <s v="Beverages"/>
    <n v="406"/>
    <n v="435.11"/>
    <n v="176654.66"/>
    <n v="99193.920000000013"/>
  </r>
  <r>
    <s v="ORD0178"/>
    <x v="0"/>
    <s v="Australia"/>
    <x v="2"/>
    <s v="Online"/>
    <s v="Medium"/>
    <d v="2023-06-27T00:00:00"/>
    <n v="498"/>
    <n v="190.96"/>
    <n v="47.35"/>
    <n v="91"/>
    <n v="67"/>
    <s v="East"/>
    <s v="Clothing"/>
    <n v="498"/>
    <n v="190.96"/>
    <n v="95098.08"/>
    <n v="71517.78"/>
  </r>
  <r>
    <s v="ORD0179"/>
    <x v="2"/>
    <s v="Australia"/>
    <x v="2"/>
    <s v="Offline"/>
    <s v="Low"/>
    <d v="2023-06-28T00:00:00"/>
    <n v="48"/>
    <n v="151.94999999999999"/>
    <n v="195.43"/>
    <n v="78"/>
    <n v="67"/>
    <s v="North"/>
    <s v="Clothing"/>
    <n v="48"/>
    <n v="151.94999999999999"/>
    <n v="7293.5999999999995"/>
    <n v="-2087.04"/>
  </r>
  <r>
    <s v="ORD0180"/>
    <x v="0"/>
    <s v="Australia"/>
    <x v="2"/>
    <s v="Online"/>
    <s v="High"/>
    <d v="2023-06-29T00:00:00"/>
    <n v="280"/>
    <n v="326.29000000000002"/>
    <n v="368.28"/>
    <n v="91"/>
    <n v="67"/>
    <s v="East"/>
    <s v="Clothing"/>
    <n v="280"/>
    <n v="326.29000000000002"/>
    <n v="91361.200000000012"/>
    <n v="-11757.199999999983"/>
  </r>
  <r>
    <s v="ORD0181"/>
    <x v="2"/>
    <s v="UK"/>
    <x v="2"/>
    <s v="Online"/>
    <s v="Low"/>
    <d v="2023-06-30T00:00:00"/>
    <n v="384"/>
    <n v="167.55"/>
    <n v="209.27"/>
    <n v="78"/>
    <n v="67"/>
    <s v="North"/>
    <s v="Clothing"/>
    <n v="384"/>
    <n v="167.55"/>
    <n v="64339.200000000004"/>
    <n v="-16020.480000000003"/>
  </r>
  <r>
    <s v="ORD0182"/>
    <x v="0"/>
    <s v="Germany"/>
    <x v="4"/>
    <s v="Online"/>
    <s v="Medium"/>
    <d v="2023-07-01T00:00:00"/>
    <n v="294"/>
    <n v="316.95"/>
    <n v="247.37"/>
    <n v="91"/>
    <n v="70"/>
    <s v="East"/>
    <s v="Electronics"/>
    <n v="294"/>
    <n v="316.95"/>
    <n v="93183.3"/>
    <n v="20456.520000000004"/>
  </r>
  <r>
    <s v="ORD0183"/>
    <x v="3"/>
    <s v="USA"/>
    <x v="2"/>
    <s v="Online"/>
    <s v="High"/>
    <d v="2023-07-02T00:00:00"/>
    <n v="166"/>
    <n v="306.87"/>
    <n v="64.34"/>
    <n v="75"/>
    <n v="67"/>
    <s v="South"/>
    <s v="Clothing"/>
    <n v="166"/>
    <n v="306.87"/>
    <n v="50940.42"/>
    <n v="40259.979999999996"/>
  </r>
  <r>
    <s v="ORD0184"/>
    <x v="0"/>
    <s v="UK"/>
    <x v="1"/>
    <s v="Online"/>
    <s v="Medium"/>
    <d v="2023-07-03T00:00:00"/>
    <n v="84"/>
    <n v="283.89999999999998"/>
    <n v="19.41"/>
    <n v="91"/>
    <n v="61"/>
    <s v="East"/>
    <s v="Food"/>
    <n v="84"/>
    <n v="283.89999999999998"/>
    <n v="23847.599999999999"/>
    <n v="22217.16"/>
  </r>
  <r>
    <s v="ORD0185"/>
    <x v="2"/>
    <s v="Australia"/>
    <x v="1"/>
    <s v="Online"/>
    <s v="Medium"/>
    <d v="2023-07-04T00:00:00"/>
    <n v="381"/>
    <n v="193.31"/>
    <n v="46.1"/>
    <n v="78"/>
    <n v="61"/>
    <s v="North"/>
    <s v="Food"/>
    <n v="381"/>
    <n v="193.31"/>
    <n v="73651.11"/>
    <n v="56087.009999999995"/>
  </r>
  <r>
    <s v="ORD0186"/>
    <x v="2"/>
    <s v="India"/>
    <x v="4"/>
    <s v="Offline"/>
    <s v="Low"/>
    <d v="2023-07-05T00:00:00"/>
    <n v="297"/>
    <n v="276.51"/>
    <n v="240.22"/>
    <n v="78"/>
    <n v="70"/>
    <s v="North"/>
    <s v="Electronics"/>
    <n v="297"/>
    <n v="276.51"/>
    <n v="82123.47"/>
    <n v="10778.130000000005"/>
  </r>
  <r>
    <s v="ORD0187"/>
    <x v="3"/>
    <s v="Australia"/>
    <x v="2"/>
    <s v="Offline"/>
    <s v="Medium"/>
    <d v="2023-07-06T00:00:00"/>
    <n v="139"/>
    <n v="300.26"/>
    <n v="39.81"/>
    <n v="75"/>
    <n v="67"/>
    <s v="South"/>
    <s v="Clothing"/>
    <n v="139"/>
    <n v="300.26"/>
    <n v="41736.14"/>
    <n v="36202.550000000003"/>
  </r>
  <r>
    <s v="ORD0188"/>
    <x v="0"/>
    <s v="Germany"/>
    <x v="2"/>
    <s v="Online"/>
    <s v="Low"/>
    <d v="2023-07-07T00:00:00"/>
    <n v="184"/>
    <n v="275.12"/>
    <n v="151.65"/>
    <n v="91"/>
    <n v="67"/>
    <s v="East"/>
    <s v="Clothing"/>
    <n v="184"/>
    <n v="275.12"/>
    <n v="50622.080000000002"/>
    <n v="22718.48"/>
  </r>
  <r>
    <s v="ORD0189"/>
    <x v="0"/>
    <s v="Australia"/>
    <x v="2"/>
    <s v="Online"/>
    <s v="High"/>
    <d v="2023-07-08T00:00:00"/>
    <n v="471"/>
    <n v="224.99"/>
    <n v="220.94"/>
    <n v="91"/>
    <n v="67"/>
    <s v="East"/>
    <s v="Clothing"/>
    <n v="471"/>
    <n v="224.99"/>
    <n v="105970.29000000001"/>
    <n v="1907.5500000000029"/>
  </r>
  <r>
    <s v="ORD0190"/>
    <x v="3"/>
    <s v="India"/>
    <x v="0"/>
    <s v="Offline"/>
    <s v="Low"/>
    <d v="2023-07-09T00:00:00"/>
    <n v="93"/>
    <n v="12.26"/>
    <n v="156.68"/>
    <n v="75"/>
    <n v="83"/>
    <s v="South"/>
    <s v="Beverages"/>
    <n v="93"/>
    <n v="12.26"/>
    <n v="1140.18"/>
    <n v="-13431.06"/>
  </r>
  <r>
    <s v="ORD0191"/>
    <x v="0"/>
    <s v="Germany"/>
    <x v="3"/>
    <s v="Online"/>
    <s v="High"/>
    <d v="2023-07-10T00:00:00"/>
    <n v="31"/>
    <n v="295.60000000000002"/>
    <n v="67.150000000000006"/>
    <n v="91"/>
    <n v="69"/>
    <s v="East"/>
    <s v="Furniture"/>
    <n v="31"/>
    <n v="295.60000000000002"/>
    <n v="9163.6"/>
    <n v="7081.9500000000007"/>
  </r>
  <r>
    <s v="ORD0192"/>
    <x v="0"/>
    <s v="Australia"/>
    <x v="0"/>
    <s v="Online"/>
    <s v="Low"/>
    <d v="2023-07-11T00:00:00"/>
    <n v="468"/>
    <n v="88.38"/>
    <n v="110.97"/>
    <n v="91"/>
    <n v="83"/>
    <s v="East"/>
    <s v="Beverages"/>
    <n v="468"/>
    <n v="88.38"/>
    <n v="41361.839999999997"/>
    <n v="-10572.120000000003"/>
  </r>
  <r>
    <s v="ORD0193"/>
    <x v="2"/>
    <s v="Germany"/>
    <x v="3"/>
    <s v="Online"/>
    <s v="Medium"/>
    <d v="2023-07-12T00:00:00"/>
    <n v="36"/>
    <n v="323.08"/>
    <n v="371.47"/>
    <n v="78"/>
    <n v="69"/>
    <s v="North"/>
    <s v="Furniture"/>
    <n v="36"/>
    <n v="323.08"/>
    <n v="11630.88"/>
    <n v="-1742.0400000000027"/>
  </r>
  <r>
    <s v="ORD0194"/>
    <x v="0"/>
    <s v="USA"/>
    <x v="2"/>
    <s v="Offline"/>
    <s v="Low"/>
    <d v="2023-07-13T00:00:00"/>
    <n v="204"/>
    <n v="380.88"/>
    <n v="271.04000000000002"/>
    <n v="91"/>
    <n v="67"/>
    <s v="East"/>
    <s v="Clothing"/>
    <n v="204"/>
    <n v="380.88"/>
    <n v="77699.520000000004"/>
    <n v="22407.360000000001"/>
  </r>
  <r>
    <s v="ORD0195"/>
    <x v="0"/>
    <s v="USA"/>
    <x v="2"/>
    <s v="Online"/>
    <s v="Low"/>
    <d v="2023-07-14T00:00:00"/>
    <n v="346"/>
    <n v="252.72"/>
    <n v="199.43"/>
    <n v="91"/>
    <n v="67"/>
    <s v="East"/>
    <s v="Clothing"/>
    <n v="346"/>
    <n v="252.72"/>
    <n v="87441.12"/>
    <n v="18438.339999999997"/>
  </r>
  <r>
    <s v="ORD0196"/>
    <x v="3"/>
    <s v="Australia"/>
    <x v="0"/>
    <s v="Offline"/>
    <s v="High"/>
    <d v="2023-07-15T00:00:00"/>
    <n v="391"/>
    <n v="273.47000000000003"/>
    <n v="7.06"/>
    <n v="75"/>
    <n v="83"/>
    <s v="South"/>
    <s v="Beverages"/>
    <n v="391"/>
    <n v="273.47000000000003"/>
    <n v="106926.77"/>
    <n v="104166.31"/>
  </r>
  <r>
    <s v="ORD0197"/>
    <x v="3"/>
    <s v="Germany"/>
    <x v="0"/>
    <s v="Online"/>
    <s v="Medium"/>
    <d v="2023-07-16T00:00:00"/>
    <n v="245"/>
    <n v="475.98"/>
    <n v="396.98"/>
    <n v="75"/>
    <n v="83"/>
    <s v="South"/>
    <s v="Beverages"/>
    <n v="245"/>
    <n v="475.98"/>
    <n v="116615.1"/>
    <n v="19355"/>
  </r>
  <r>
    <s v="ORD0198"/>
    <x v="1"/>
    <s v="India"/>
    <x v="3"/>
    <s v="Offline"/>
    <s v="Low"/>
    <d v="2023-07-17T00:00:00"/>
    <n v="449"/>
    <n v="424.35"/>
    <n v="269.24"/>
    <n v="106"/>
    <n v="69"/>
    <s v="West"/>
    <s v="Furniture"/>
    <n v="449"/>
    <n v="424.35"/>
    <n v="190533.15000000002"/>
    <n v="69644.390000000014"/>
  </r>
  <r>
    <s v="ORD0199"/>
    <x v="2"/>
    <s v="Australia"/>
    <x v="1"/>
    <s v="Offline"/>
    <s v="Medium"/>
    <d v="2023-07-18T00:00:00"/>
    <n v="101"/>
    <n v="457.55"/>
    <n v="128.13999999999999"/>
    <n v="78"/>
    <n v="61"/>
    <s v="North"/>
    <s v="Food"/>
    <n v="101"/>
    <n v="457.55"/>
    <n v="46212.55"/>
    <n v="33270.410000000003"/>
  </r>
  <r>
    <s v="ORD0200"/>
    <x v="0"/>
    <s v="USA"/>
    <x v="3"/>
    <s v="Online"/>
    <s v="Low"/>
    <d v="2023-07-19T00:00:00"/>
    <n v="255.90294117647059"/>
    <n v="407.81"/>
    <n v="351.95"/>
    <n v="91"/>
    <n v="69"/>
    <s v="East"/>
    <s v="Furniture"/>
    <n v="255.90294117647059"/>
    <n v="407.81"/>
    <n v="104359.77844117647"/>
    <n v="14294.738294117647"/>
  </r>
  <r>
    <s v="ORD0201"/>
    <x v="0"/>
    <s v="USA"/>
    <x v="0"/>
    <s v="Offline"/>
    <s v="Low"/>
    <d v="2023-07-20T00:00:00"/>
    <n v="30"/>
    <n v="58.91"/>
    <n v="104.86"/>
    <n v="91"/>
    <n v="83"/>
    <s v="East"/>
    <s v="Beverages"/>
    <n v="30"/>
    <n v="58.91"/>
    <n v="1767.3"/>
    <n v="-1378.5000000000002"/>
  </r>
  <r>
    <s v="ORD0202"/>
    <x v="1"/>
    <s v="Australia"/>
    <x v="0"/>
    <s v="Online"/>
    <s v="Medium"/>
    <d v="2023-07-21T00:00:00"/>
    <n v="312"/>
    <n v="78.75"/>
    <n v="218.52"/>
    <n v="106"/>
    <n v="83"/>
    <s v="West"/>
    <s v="Beverages"/>
    <n v="312"/>
    <n v="78.75"/>
    <n v="24570"/>
    <n v="-43608.240000000005"/>
  </r>
  <r>
    <s v="ORD0203"/>
    <x v="0"/>
    <s v="Germany"/>
    <x v="4"/>
    <s v="Offline"/>
    <s v="Low"/>
    <d v="2023-07-22T00:00:00"/>
    <n v="473"/>
    <n v="265.68"/>
    <n v="255.16"/>
    <n v="91"/>
    <n v="70"/>
    <s v="East"/>
    <s v="Electronics"/>
    <n v="473"/>
    <n v="265.68"/>
    <n v="125666.64"/>
    <n v="4975.9600000000064"/>
  </r>
  <r>
    <s v="ORD0204"/>
    <x v="2"/>
    <s v="USA"/>
    <x v="0"/>
    <s v="Online"/>
    <s v="Medium"/>
    <d v="2023-07-23T00:00:00"/>
    <n v="366"/>
    <n v="126.8"/>
    <n v="89.98"/>
    <n v="78"/>
    <n v="83"/>
    <s v="North"/>
    <s v="Beverages"/>
    <n v="366"/>
    <n v="126.8"/>
    <n v="46408.799999999996"/>
    <n v="13476.119999999995"/>
  </r>
  <r>
    <s v="ORD0205"/>
    <x v="1"/>
    <s v="Germany"/>
    <x v="4"/>
    <s v="Online"/>
    <s v="Low"/>
    <d v="2023-07-24T00:00:00"/>
    <n v="452"/>
    <n v="240.96"/>
    <n v="391.4"/>
    <n v="106"/>
    <n v="70"/>
    <s v="West"/>
    <s v="Electronics"/>
    <n v="452"/>
    <n v="240.96"/>
    <n v="108913.92"/>
    <n v="-67998.87999999999"/>
  </r>
  <r>
    <s v="ORD0206"/>
    <x v="2"/>
    <s v="USA"/>
    <x v="1"/>
    <s v="Offline"/>
    <s v="High"/>
    <d v="2023-07-25T00:00:00"/>
    <n v="93"/>
    <n v="200.21"/>
    <n v="299.77999999999997"/>
    <n v="78"/>
    <n v="61"/>
    <s v="North"/>
    <s v="Food"/>
    <n v="93"/>
    <n v="200.21"/>
    <n v="18619.530000000002"/>
    <n v="-9260.0099999999948"/>
  </r>
  <r>
    <s v="ORD0207"/>
    <x v="1"/>
    <s v="USA"/>
    <x v="3"/>
    <s v="Online"/>
    <s v="Medium"/>
    <d v="2023-07-26T00:00:00"/>
    <n v="271"/>
    <n v="276.95999999999998"/>
    <n v="224.01"/>
    <n v="106"/>
    <n v="69"/>
    <s v="West"/>
    <s v="Furniture"/>
    <n v="271"/>
    <n v="276.95999999999998"/>
    <n v="75056.159999999989"/>
    <n v="14349.44999999999"/>
  </r>
  <r>
    <s v="ORD0208"/>
    <x v="1"/>
    <s v="UK"/>
    <x v="3"/>
    <s v="Online"/>
    <s v="Low"/>
    <d v="2023-07-27T00:00:00"/>
    <n v="156"/>
    <n v="374.7"/>
    <n v="73.88"/>
    <n v="106"/>
    <n v="69"/>
    <s v="West"/>
    <s v="Furniture"/>
    <n v="156"/>
    <n v="374.7"/>
    <n v="58453.2"/>
    <n v="46927.92"/>
  </r>
  <r>
    <s v="ORD0209"/>
    <x v="3"/>
    <s v="USA"/>
    <x v="4"/>
    <s v="Offline"/>
    <s v="Low"/>
    <d v="2023-07-28T00:00:00"/>
    <n v="450"/>
    <n v="359.17"/>
    <n v="23.44"/>
    <n v="75"/>
    <n v="70"/>
    <s v="South"/>
    <s v="Electronics"/>
    <n v="450"/>
    <n v="359.17"/>
    <n v="161626.5"/>
    <n v="151078.5"/>
  </r>
  <r>
    <s v="ORD0210"/>
    <x v="2"/>
    <s v="India"/>
    <x v="3"/>
    <s v="Online"/>
    <s v="High"/>
    <d v="2023-07-29T00:00:00"/>
    <n v="462"/>
    <n v="263.01"/>
    <n v="129.38"/>
    <n v="78"/>
    <n v="69"/>
    <s v="North"/>
    <s v="Furniture"/>
    <n v="462"/>
    <n v="263.01"/>
    <n v="121510.62"/>
    <n v="61737.06"/>
  </r>
  <r>
    <s v="ORD0211"/>
    <x v="0"/>
    <s v="Australia"/>
    <x v="0"/>
    <s v="Online"/>
    <s v="Medium"/>
    <d v="2023-07-30T00:00:00"/>
    <n v="396"/>
    <n v="412.08"/>
    <n v="301.77"/>
    <n v="91"/>
    <n v="83"/>
    <s v="East"/>
    <s v="Beverages"/>
    <n v="396"/>
    <n v="412.08"/>
    <n v="163183.67999999999"/>
    <n v="43682.759999999995"/>
  </r>
  <r>
    <s v="ORD0212"/>
    <x v="0"/>
    <s v="Australia"/>
    <x v="2"/>
    <s v="Offline"/>
    <s v="Low"/>
    <d v="2023-07-31T00:00:00"/>
    <n v="266"/>
    <n v="218.28"/>
    <n v="109.19"/>
    <n v="91"/>
    <n v="67"/>
    <s v="East"/>
    <s v="Clothing"/>
    <n v="266"/>
    <n v="218.28"/>
    <n v="58062.48"/>
    <n v="29017.940000000002"/>
  </r>
  <r>
    <s v="ORD0213"/>
    <x v="2"/>
    <s v="Germany"/>
    <x v="4"/>
    <s v="Offline"/>
    <s v="High"/>
    <d v="2023-08-01T00:00:00"/>
    <n v="67"/>
    <n v="448.87"/>
    <n v="216.74"/>
    <n v="78"/>
    <n v="70"/>
    <s v="North"/>
    <s v="Electronics"/>
    <n v="67"/>
    <n v="448.87"/>
    <n v="30074.29"/>
    <n v="15552.710000000001"/>
  </r>
  <r>
    <s v="ORD0214"/>
    <x v="0"/>
    <s v="USA"/>
    <x v="3"/>
    <s v="Online"/>
    <s v="Low"/>
    <d v="2023-08-02T00:00:00"/>
    <n v="389"/>
    <n v="40.28"/>
    <n v="291.72000000000003"/>
    <n v="91"/>
    <n v="69"/>
    <s v="East"/>
    <s v="Furniture"/>
    <n v="389"/>
    <n v="40.28"/>
    <n v="15668.92"/>
    <n v="-97810.160000000018"/>
  </r>
  <r>
    <s v="ORD0215"/>
    <x v="0"/>
    <s v="India"/>
    <x v="4"/>
    <s v="Online"/>
    <s v="Medium"/>
    <d v="2023-08-03T00:00:00"/>
    <n v="431"/>
    <n v="477.56"/>
    <n v="44.96"/>
    <n v="91"/>
    <n v="70"/>
    <s v="East"/>
    <s v="Electronics"/>
    <n v="431"/>
    <n v="477.56"/>
    <n v="205828.36000000002"/>
    <n v="186450.6"/>
  </r>
  <r>
    <s v="ORD0216"/>
    <x v="2"/>
    <s v="Germany"/>
    <x v="4"/>
    <s v="Offline"/>
    <s v="Low"/>
    <d v="2023-08-04T00:00:00"/>
    <n v="24"/>
    <n v="329.07"/>
    <n v="274.75"/>
    <n v="78"/>
    <n v="70"/>
    <s v="North"/>
    <s v="Electronics"/>
    <n v="24"/>
    <n v="329.07"/>
    <n v="7897.68"/>
    <n v="1303.6800000000003"/>
  </r>
  <r>
    <s v="ORD0217"/>
    <x v="1"/>
    <s v="UK"/>
    <x v="2"/>
    <s v="Offline"/>
    <s v="Low"/>
    <d v="2023-08-05T00:00:00"/>
    <n v="171"/>
    <n v="193.14"/>
    <n v="38.56"/>
    <n v="106"/>
    <n v="67"/>
    <s v="West"/>
    <s v="Clothing"/>
    <n v="171"/>
    <n v="193.14"/>
    <n v="33026.939999999995"/>
    <n v="26433.179999999993"/>
  </r>
  <r>
    <s v="ORD0218"/>
    <x v="2"/>
    <s v="Germany"/>
    <x v="0"/>
    <s v="Online"/>
    <s v="Low"/>
    <d v="2023-08-06T00:00:00"/>
    <n v="454"/>
    <n v="102.59"/>
    <n v="386.12"/>
    <n v="78"/>
    <n v="83"/>
    <s v="North"/>
    <s v="Beverages"/>
    <n v="454"/>
    <n v="102.59"/>
    <n v="46575.86"/>
    <n v="-128722.62000000001"/>
  </r>
  <r>
    <s v="ORD0219"/>
    <x v="1"/>
    <s v="Germany"/>
    <x v="4"/>
    <s v="Offline"/>
    <s v="Low"/>
    <d v="2023-08-07T00:00:00"/>
    <n v="172"/>
    <n v="242.2"/>
    <n v="196.38"/>
    <n v="106"/>
    <n v="70"/>
    <s v="West"/>
    <s v="Electronics"/>
    <n v="172"/>
    <n v="242.2"/>
    <n v="41658.400000000001"/>
    <n v="7881.0400000000009"/>
  </r>
  <r>
    <s v="ORD0220"/>
    <x v="0"/>
    <s v="USA"/>
    <x v="3"/>
    <s v="Online"/>
    <s v="High"/>
    <d v="2023-08-08T00:00:00"/>
    <n v="329"/>
    <n v="101.31"/>
    <n v="61.97"/>
    <n v="91"/>
    <n v="69"/>
    <s v="East"/>
    <s v="Furniture"/>
    <n v="329"/>
    <n v="101.31"/>
    <n v="33330.99"/>
    <n v="12942.859999999997"/>
  </r>
  <r>
    <s v="ORD0221"/>
    <x v="0"/>
    <s v="UK"/>
    <x v="1"/>
    <s v="Online"/>
    <s v="High"/>
    <d v="2023-08-09T00:00:00"/>
    <n v="290"/>
    <n v="87.33"/>
    <n v="138.27000000000001"/>
    <n v="91"/>
    <n v="61"/>
    <s v="East"/>
    <s v="Food"/>
    <n v="290"/>
    <n v="87.33"/>
    <n v="25325.7"/>
    <n v="-14772.600000000002"/>
  </r>
  <r>
    <s v="ORD0222"/>
    <x v="1"/>
    <s v="Germany"/>
    <x v="4"/>
    <s v="Online"/>
    <s v="Medium"/>
    <d v="2023-08-10T00:00:00"/>
    <n v="289"/>
    <n v="310.58999999999997"/>
    <n v="166.54"/>
    <n v="106"/>
    <n v="70"/>
    <s v="West"/>
    <s v="Electronics"/>
    <n v="289"/>
    <n v="310.58999999999997"/>
    <n v="89760.51"/>
    <n v="41630.449999999997"/>
  </r>
  <r>
    <s v="ORD0223"/>
    <x v="3"/>
    <s v="India"/>
    <x v="4"/>
    <s v="Online"/>
    <s v="High"/>
    <d v="2023-08-11T00:00:00"/>
    <n v="21"/>
    <n v="263.93"/>
    <n v="303.76"/>
    <n v="75"/>
    <n v="70"/>
    <s v="South"/>
    <s v="Electronics"/>
    <n v="21"/>
    <n v="263.93"/>
    <n v="5542.53"/>
    <n v="-836.43000000000029"/>
  </r>
  <r>
    <s v="ORD0224"/>
    <x v="1"/>
    <s v="India"/>
    <x v="2"/>
    <s v="Online"/>
    <s v="High"/>
    <d v="2023-08-12T00:00:00"/>
    <n v="283"/>
    <n v="336.7"/>
    <n v="297.88"/>
    <n v="106"/>
    <n v="67"/>
    <s v="West"/>
    <s v="Clothing"/>
    <n v="283"/>
    <n v="336.7"/>
    <n v="95286.099999999991"/>
    <n v="10986.059999999998"/>
  </r>
  <r>
    <s v="ORD0225"/>
    <x v="3"/>
    <s v="Australia"/>
    <x v="0"/>
    <s v="Offline"/>
    <s v="Medium"/>
    <d v="2023-08-13T00:00:00"/>
    <n v="280"/>
    <n v="465.15"/>
    <n v="245.55"/>
    <n v="75"/>
    <n v="83"/>
    <s v="South"/>
    <s v="Beverages"/>
    <n v="280"/>
    <n v="465.15"/>
    <n v="130242"/>
    <n v="61488"/>
  </r>
  <r>
    <s v="ORD0226"/>
    <x v="3"/>
    <s v="UK"/>
    <x v="1"/>
    <s v="Offline"/>
    <s v="High"/>
    <d v="2023-08-14T00:00:00"/>
    <n v="217"/>
    <n v="268.47000000000003"/>
    <n v="44.16"/>
    <n v="75"/>
    <n v="61"/>
    <s v="South"/>
    <s v="Food"/>
    <n v="217"/>
    <n v="268.47000000000003"/>
    <n v="58257.990000000005"/>
    <n v="48675.270000000004"/>
  </r>
  <r>
    <s v="ORD0227"/>
    <x v="2"/>
    <s v="UK"/>
    <x v="3"/>
    <s v="Offline"/>
    <s v="High"/>
    <d v="2023-08-15T00:00:00"/>
    <n v="36"/>
    <n v="292.56"/>
    <n v="62.32"/>
    <n v="78"/>
    <n v="69"/>
    <s v="North"/>
    <s v="Furniture"/>
    <n v="36"/>
    <n v="292.56"/>
    <n v="10532.16"/>
    <n v="8288.64"/>
  </r>
  <r>
    <s v="ORD0228"/>
    <x v="3"/>
    <s v="Australia"/>
    <x v="1"/>
    <s v="Offline"/>
    <s v="Medium"/>
    <d v="2023-08-16T00:00:00"/>
    <n v="255.90294117647059"/>
    <n v="49.37"/>
    <n v="39.32"/>
    <n v="75"/>
    <n v="61"/>
    <s v="South"/>
    <s v="Food"/>
    <n v="255.90294117647059"/>
    <n v="49.37"/>
    <n v="12633.928205882352"/>
    <n v="2571.8245588235277"/>
  </r>
  <r>
    <s v="ORD0229"/>
    <x v="2"/>
    <s v="Germany"/>
    <x v="3"/>
    <s v="Online"/>
    <s v="Medium"/>
    <d v="2023-08-17T00:00:00"/>
    <n v="69"/>
    <n v="360.23"/>
    <n v="231.71"/>
    <n v="78"/>
    <n v="69"/>
    <s v="North"/>
    <s v="Furniture"/>
    <n v="69"/>
    <n v="360.23"/>
    <n v="24855.870000000003"/>
    <n v="8867.8800000000028"/>
  </r>
  <r>
    <s v="ORD0230"/>
    <x v="2"/>
    <s v="UK"/>
    <x v="0"/>
    <s v="Online"/>
    <s v="Medium"/>
    <d v="2023-08-18T00:00:00"/>
    <n v="439"/>
    <n v="202.95"/>
    <n v="351.1"/>
    <n v="78"/>
    <n v="83"/>
    <s v="North"/>
    <s v="Beverages"/>
    <n v="439"/>
    <n v="202.95"/>
    <n v="89095.049999999988"/>
    <n v="-65037.850000000035"/>
  </r>
  <r>
    <s v="ORD0231"/>
    <x v="3"/>
    <s v="India"/>
    <x v="3"/>
    <s v="Online"/>
    <s v="Low"/>
    <d v="2023-08-19T00:00:00"/>
    <n v="482"/>
    <n v="488.48"/>
    <n v="174.65"/>
    <n v="75"/>
    <n v="69"/>
    <s v="South"/>
    <s v="Furniture"/>
    <n v="482"/>
    <n v="488.48"/>
    <n v="235447.36000000002"/>
    <n v="151266.06"/>
  </r>
  <r>
    <s v="ORD0232"/>
    <x v="1"/>
    <s v="India"/>
    <x v="2"/>
    <s v="Online"/>
    <s v="Low"/>
    <d v="2023-08-20T00:00:00"/>
    <n v="154"/>
    <n v="412.47"/>
    <n v="66.02"/>
    <n v="106"/>
    <n v="67"/>
    <s v="West"/>
    <s v="Clothing"/>
    <n v="154"/>
    <n v="412.47"/>
    <n v="63520.380000000005"/>
    <n v="53353.3"/>
  </r>
  <r>
    <s v="ORD0233"/>
    <x v="1"/>
    <s v="USA"/>
    <x v="2"/>
    <s v="Offline"/>
    <s v="Medium"/>
    <d v="2023-08-21T00:00:00"/>
    <n v="102"/>
    <n v="263.63"/>
    <n v="224.1"/>
    <n v="106"/>
    <n v="67"/>
    <s v="West"/>
    <s v="Clothing"/>
    <n v="102"/>
    <n v="263.63"/>
    <n v="26890.26"/>
    <n v="4032.0599999999977"/>
  </r>
  <r>
    <s v="ORD0234"/>
    <x v="1"/>
    <s v="UK"/>
    <x v="2"/>
    <s v="Online"/>
    <s v="Medium"/>
    <d v="2023-08-22T00:00:00"/>
    <n v="318"/>
    <n v="66"/>
    <n v="325.08"/>
    <n v="106"/>
    <n v="67"/>
    <s v="West"/>
    <s v="Clothing"/>
    <n v="318"/>
    <n v="66"/>
    <n v="20988"/>
    <n v="-82387.439999999988"/>
  </r>
  <r>
    <s v="ORD0235"/>
    <x v="1"/>
    <s v="Germany"/>
    <x v="2"/>
    <s v="Online"/>
    <s v="Medium"/>
    <d v="2023-08-23T00:00:00"/>
    <n v="17"/>
    <n v="430.41"/>
    <n v="297.2"/>
    <n v="106"/>
    <n v="67"/>
    <s v="West"/>
    <s v="Clothing"/>
    <n v="17"/>
    <n v="430.41"/>
    <n v="7316.97"/>
    <n v="2264.5700000000006"/>
  </r>
  <r>
    <s v="ORD0236"/>
    <x v="1"/>
    <s v="Australia"/>
    <x v="1"/>
    <s v="Offline"/>
    <s v="Low"/>
    <d v="2023-08-24T00:00:00"/>
    <n v="88"/>
    <n v="400.89"/>
    <n v="352.82"/>
    <n v="106"/>
    <n v="61"/>
    <s v="West"/>
    <s v="Food"/>
    <n v="88"/>
    <n v="400.89"/>
    <n v="35278.32"/>
    <n v="4230.16"/>
  </r>
  <r>
    <s v="ORD0237"/>
    <x v="3"/>
    <s v="Australia"/>
    <x v="0"/>
    <s v="Offline"/>
    <s v="Low"/>
    <d v="2023-08-25T00:00:00"/>
    <n v="36"/>
    <n v="96.37"/>
    <n v="112.61"/>
    <n v="75"/>
    <n v="83"/>
    <s v="South"/>
    <s v="Beverages"/>
    <n v="36"/>
    <n v="96.37"/>
    <n v="3469.32"/>
    <n v="-584.63999999999987"/>
  </r>
  <r>
    <s v="ORD0238"/>
    <x v="3"/>
    <s v="Germany"/>
    <x v="3"/>
    <s v="Offline"/>
    <s v="High"/>
    <d v="2023-08-26T00:00:00"/>
    <n v="183"/>
    <n v="151.16"/>
    <n v="79.19"/>
    <n v="75"/>
    <n v="69"/>
    <s v="South"/>
    <s v="Furniture"/>
    <n v="183"/>
    <n v="151.16"/>
    <n v="27662.28"/>
    <n v="13170.509999999998"/>
  </r>
  <r>
    <s v="ORD0239"/>
    <x v="0"/>
    <s v="USA"/>
    <x v="3"/>
    <s v="Offline"/>
    <s v="High"/>
    <d v="2023-08-27T00:00:00"/>
    <n v="59"/>
    <n v="397.74"/>
    <n v="352.17"/>
    <n v="91"/>
    <n v="69"/>
    <s v="East"/>
    <s v="Furniture"/>
    <n v="59"/>
    <n v="397.74"/>
    <n v="23466.66"/>
    <n v="2688.6299999999974"/>
  </r>
  <r>
    <s v="ORD0240"/>
    <x v="1"/>
    <s v="Australia"/>
    <x v="2"/>
    <s v="Online"/>
    <s v="Medium"/>
    <d v="2023-08-28T00:00:00"/>
    <n v="208"/>
    <n v="96.69"/>
    <n v="263.70999999999998"/>
    <n v="106"/>
    <n v="67"/>
    <s v="West"/>
    <s v="Clothing"/>
    <n v="208"/>
    <n v="96.69"/>
    <n v="20111.52"/>
    <n v="-34740.159999999989"/>
  </r>
  <r>
    <s v="ORD0241"/>
    <x v="3"/>
    <s v="UK"/>
    <x v="2"/>
    <s v="Online"/>
    <s v="Low"/>
    <d v="2023-08-29T00:00:00"/>
    <n v="396"/>
    <n v="459.29"/>
    <n v="125.75"/>
    <n v="75"/>
    <n v="67"/>
    <s v="South"/>
    <s v="Clothing"/>
    <n v="396"/>
    <n v="459.29"/>
    <n v="181878.84"/>
    <n v="132081.84"/>
  </r>
  <r>
    <s v="ORD0242"/>
    <x v="0"/>
    <s v="USA"/>
    <x v="4"/>
    <s v="Offline"/>
    <s v="Low"/>
    <d v="2023-08-30T00:00:00"/>
    <n v="358"/>
    <n v="215.14"/>
    <n v="297.45"/>
    <n v="91"/>
    <n v="70"/>
    <s v="East"/>
    <s v="Electronics"/>
    <n v="358"/>
    <n v="215.14"/>
    <n v="77020.12"/>
    <n v="-29466.979999999996"/>
  </r>
  <r>
    <s v="ORD0243"/>
    <x v="1"/>
    <s v="UK"/>
    <x v="0"/>
    <s v="Online"/>
    <s v="Low"/>
    <d v="2023-08-31T00:00:00"/>
    <n v="457"/>
    <n v="48.08"/>
    <n v="326.42"/>
    <n v="106"/>
    <n v="83"/>
    <s v="West"/>
    <s v="Beverages"/>
    <n v="457"/>
    <n v="48.08"/>
    <n v="21972.559999999998"/>
    <n v="-127201.38"/>
  </r>
  <r>
    <s v="ORD0244"/>
    <x v="2"/>
    <s v="India"/>
    <x v="1"/>
    <s v="Online"/>
    <s v="Medium"/>
    <d v="2023-09-01T00:00:00"/>
    <n v="437"/>
    <n v="408.8"/>
    <n v="246.76"/>
    <n v="78"/>
    <n v="61"/>
    <s v="North"/>
    <s v="Food"/>
    <n v="437"/>
    <n v="408.8"/>
    <n v="178645.6"/>
    <n v="70811.48000000001"/>
  </r>
  <r>
    <s v="ORD0245"/>
    <x v="0"/>
    <s v="USA"/>
    <x v="3"/>
    <s v="Online"/>
    <s v="High"/>
    <d v="2023-09-02T00:00:00"/>
    <n v="190"/>
    <n v="189.89"/>
    <n v="275.77999999999997"/>
    <n v="91"/>
    <n v="69"/>
    <s v="East"/>
    <s v="Furniture"/>
    <n v="190"/>
    <n v="189.89"/>
    <n v="36079.1"/>
    <n v="-16319.099999999999"/>
  </r>
  <r>
    <s v="ORD0246"/>
    <x v="3"/>
    <s v="Australia"/>
    <x v="4"/>
    <s v="Offline"/>
    <s v="Medium"/>
    <d v="2023-09-03T00:00:00"/>
    <n v="33"/>
    <n v="265.62"/>
    <n v="151.35"/>
    <n v="75"/>
    <n v="70"/>
    <s v="South"/>
    <s v="Electronics"/>
    <n v="33"/>
    <n v="265.62"/>
    <n v="8765.4600000000009"/>
    <n v="3770.9100000000008"/>
  </r>
  <r>
    <s v="ORD0247"/>
    <x v="2"/>
    <s v="USA"/>
    <x v="4"/>
    <s v="Online"/>
    <s v="High"/>
    <d v="2023-09-04T00:00:00"/>
    <n v="325"/>
    <n v="60.59"/>
    <n v="216.4"/>
    <n v="78"/>
    <n v="70"/>
    <s v="North"/>
    <s v="Electronics"/>
    <n v="325"/>
    <n v="60.59"/>
    <n v="19691.75"/>
    <n v="-50638.25"/>
  </r>
  <r>
    <s v="ORD0248"/>
    <x v="2"/>
    <s v="USA"/>
    <x v="3"/>
    <s v="Offline"/>
    <s v="High"/>
    <d v="2023-09-05T00:00:00"/>
    <n v="387"/>
    <n v="6.28"/>
    <n v="210.62"/>
    <n v="78"/>
    <n v="69"/>
    <s v="North"/>
    <s v="Furniture"/>
    <n v="387"/>
    <n v="6.28"/>
    <n v="2430.36"/>
    <n v="-79079.58"/>
  </r>
  <r>
    <s v="ORD0249"/>
    <x v="2"/>
    <s v="USA"/>
    <x v="1"/>
    <s v="Online"/>
    <s v="Medium"/>
    <d v="2023-09-06T00:00:00"/>
    <n v="396"/>
    <n v="320.8"/>
    <n v="339.52"/>
    <n v="78"/>
    <n v="61"/>
    <s v="North"/>
    <s v="Food"/>
    <n v="396"/>
    <n v="320.8"/>
    <n v="127036.8"/>
    <n v="-7413.1199999999808"/>
  </r>
  <r>
    <s v="ORD0250"/>
    <x v="0"/>
    <s v="USA"/>
    <x v="4"/>
    <s v="Online"/>
    <s v="High"/>
    <d v="2023-09-07T00:00:00"/>
    <n v="413"/>
    <n v="260.01"/>
    <n v="336.31"/>
    <n v="91"/>
    <n v="70"/>
    <s v="East"/>
    <s v="Electronics"/>
    <n v="413"/>
    <n v="260.01"/>
    <n v="107384.12999999999"/>
    <n v="-31511.900000000009"/>
  </r>
  <r>
    <s v="ORD0251"/>
    <x v="3"/>
    <s v="UK"/>
    <x v="4"/>
    <s v="Online"/>
    <s v="High"/>
    <d v="2023-09-08T00:00:00"/>
    <n v="255.90294117647059"/>
    <n v="298.8"/>
    <n v="333.41"/>
    <n v="75"/>
    <n v="70"/>
    <s v="South"/>
    <s v="Electronics"/>
    <n v="255.90294117647059"/>
    <n v="298.8"/>
    <n v="76463.798823529418"/>
    <n v="-8856.8007941176475"/>
  </r>
  <r>
    <s v="ORD0252"/>
    <x v="2"/>
    <s v="India"/>
    <x v="0"/>
    <s v="Offline"/>
    <s v="Low"/>
    <d v="2023-09-09T00:00:00"/>
    <n v="24"/>
    <n v="397.9"/>
    <n v="6.39"/>
    <n v="78"/>
    <n v="83"/>
    <s v="North"/>
    <s v="Beverages"/>
    <n v="24"/>
    <n v="397.9"/>
    <n v="9549.5999999999985"/>
    <n v="9396.239999999998"/>
  </r>
  <r>
    <s v="ORD0253"/>
    <x v="1"/>
    <s v="Germany"/>
    <x v="0"/>
    <s v="Online"/>
    <s v="High"/>
    <d v="2023-09-10T00:00:00"/>
    <n v="162"/>
    <n v="325.07"/>
    <n v="300.32"/>
    <n v="106"/>
    <n v="83"/>
    <s v="West"/>
    <s v="Beverages"/>
    <n v="162"/>
    <n v="325.07"/>
    <n v="52661.34"/>
    <n v="4009.5"/>
  </r>
  <r>
    <s v="ORD0254"/>
    <x v="2"/>
    <s v="USA"/>
    <x v="4"/>
    <s v="Offline"/>
    <s v="Medium"/>
    <d v="2023-09-11T00:00:00"/>
    <n v="231"/>
    <n v="91.51"/>
    <n v="303.95"/>
    <n v="78"/>
    <n v="70"/>
    <s v="North"/>
    <s v="Electronics"/>
    <n v="231"/>
    <n v="91.51"/>
    <n v="21138.81"/>
    <n v="-49073.64"/>
  </r>
  <r>
    <s v="ORD0255"/>
    <x v="2"/>
    <s v="Australia"/>
    <x v="1"/>
    <s v="Offline"/>
    <s v="Medium"/>
    <d v="2023-09-12T00:00:00"/>
    <n v="215"/>
    <n v="183.58"/>
    <n v="271.99"/>
    <n v="78"/>
    <n v="61"/>
    <s v="North"/>
    <s v="Food"/>
    <n v="215"/>
    <n v="183.58"/>
    <n v="39469.700000000004"/>
    <n v="-19008.149999999994"/>
  </r>
  <r>
    <s v="ORD0256"/>
    <x v="0"/>
    <s v="USA"/>
    <x v="3"/>
    <s v="Offline"/>
    <s v="High"/>
    <d v="2023-09-13T00:00:00"/>
    <n v="464"/>
    <n v="453.42"/>
    <n v="302.99"/>
    <n v="91"/>
    <n v="69"/>
    <s v="East"/>
    <s v="Furniture"/>
    <n v="464"/>
    <n v="453.42"/>
    <n v="210386.88"/>
    <n v="69799.51999999999"/>
  </r>
  <r>
    <s v="ORD0257"/>
    <x v="0"/>
    <s v="Australia"/>
    <x v="2"/>
    <s v="Online"/>
    <s v="Low"/>
    <d v="2023-09-14T00:00:00"/>
    <n v="282"/>
    <n v="249.64520588235297"/>
    <n v="337.1"/>
    <n v="91"/>
    <n v="67"/>
    <s v="East"/>
    <s v="Clothing"/>
    <n v="282"/>
    <n v="249.64520588235297"/>
    <n v="70399.948058823531"/>
    <n v="-24662.251941176481"/>
  </r>
  <r>
    <s v="ORD0258"/>
    <x v="3"/>
    <s v="UK"/>
    <x v="4"/>
    <s v="Online"/>
    <s v="Low"/>
    <d v="2023-09-15T00:00:00"/>
    <n v="391"/>
    <n v="280.54000000000002"/>
    <n v="189.19"/>
    <n v="75"/>
    <n v="70"/>
    <s v="South"/>
    <s v="Electronics"/>
    <n v="391"/>
    <n v="280.54000000000002"/>
    <n v="109691.14000000001"/>
    <n v="35717.85000000002"/>
  </r>
  <r>
    <s v="ORD0259"/>
    <x v="1"/>
    <s v="Australia"/>
    <x v="0"/>
    <s v="Online"/>
    <s v="High"/>
    <d v="2023-09-16T00:00:00"/>
    <n v="245"/>
    <n v="131.54"/>
    <n v="201.82"/>
    <n v="106"/>
    <n v="83"/>
    <s v="West"/>
    <s v="Beverages"/>
    <n v="245"/>
    <n v="131.54"/>
    <n v="32227.3"/>
    <n v="-17218.600000000002"/>
  </r>
  <r>
    <s v="ORD0260"/>
    <x v="0"/>
    <s v="Germany"/>
    <x v="3"/>
    <s v="Online"/>
    <s v="High"/>
    <d v="2023-09-17T00:00:00"/>
    <n v="349"/>
    <n v="154.52000000000001"/>
    <n v="51.64"/>
    <n v="91"/>
    <n v="69"/>
    <s v="East"/>
    <s v="Furniture"/>
    <n v="349"/>
    <n v="154.52000000000001"/>
    <n v="53927.48"/>
    <n v="35905.120000000003"/>
  </r>
  <r>
    <s v="ORD0261"/>
    <x v="2"/>
    <s v="India"/>
    <x v="1"/>
    <s v="Offline"/>
    <s v="Medium"/>
    <d v="2023-09-18T00:00:00"/>
    <n v="237"/>
    <n v="249.64520588235297"/>
    <n v="155.38"/>
    <n v="78"/>
    <n v="61"/>
    <s v="North"/>
    <s v="Food"/>
    <n v="237"/>
    <n v="249.64520588235297"/>
    <n v="59165.913794117652"/>
    <n v="22340.853794117655"/>
  </r>
  <r>
    <s v="ORD0262"/>
    <x v="3"/>
    <s v="Australia"/>
    <x v="3"/>
    <s v="Offline"/>
    <s v="High"/>
    <d v="2023-09-19T00:00:00"/>
    <n v="18"/>
    <n v="426.33"/>
    <n v="258.06"/>
    <n v="75"/>
    <n v="69"/>
    <s v="South"/>
    <s v="Furniture"/>
    <n v="18"/>
    <n v="426.33"/>
    <n v="7673.94"/>
    <n v="3028.8599999999997"/>
  </r>
  <r>
    <s v="ORD0263"/>
    <x v="2"/>
    <s v="Australia"/>
    <x v="4"/>
    <s v="Offline"/>
    <s v="Low"/>
    <d v="2023-09-20T00:00:00"/>
    <n v="175"/>
    <n v="337.36"/>
    <n v="312.60000000000002"/>
    <n v="78"/>
    <n v="70"/>
    <s v="North"/>
    <s v="Electronics"/>
    <n v="175"/>
    <n v="337.36"/>
    <n v="59038"/>
    <n v="4332.9999999999927"/>
  </r>
  <r>
    <s v="ORD0264"/>
    <x v="2"/>
    <s v="India"/>
    <x v="0"/>
    <s v="Online"/>
    <s v="High"/>
    <d v="2023-09-21T00:00:00"/>
    <n v="441"/>
    <n v="405.72"/>
    <n v="88.45"/>
    <n v="78"/>
    <n v="83"/>
    <s v="North"/>
    <s v="Beverages"/>
    <n v="441"/>
    <n v="405.72"/>
    <n v="178922.52000000002"/>
    <n v="139916.07"/>
  </r>
  <r>
    <s v="ORD0265"/>
    <x v="0"/>
    <s v="Germany"/>
    <x v="2"/>
    <s v="Offline"/>
    <s v="Medium"/>
    <d v="2023-09-22T00:00:00"/>
    <n v="453"/>
    <n v="384.49"/>
    <n v="56.85"/>
    <n v="91"/>
    <n v="67"/>
    <s v="East"/>
    <s v="Clothing"/>
    <n v="453"/>
    <n v="384.49"/>
    <n v="174173.97"/>
    <n v="148420.92000000001"/>
  </r>
  <r>
    <s v="ORD0266"/>
    <x v="3"/>
    <s v="USA"/>
    <x v="3"/>
    <s v="Online"/>
    <s v="Medium"/>
    <d v="2023-09-23T00:00:00"/>
    <n v="328"/>
    <n v="79.099999999999994"/>
    <n v="265.89"/>
    <n v="75"/>
    <n v="69"/>
    <s v="South"/>
    <s v="Furniture"/>
    <n v="328"/>
    <n v="79.099999999999994"/>
    <n v="25944.799999999999"/>
    <n v="-61267.119999999995"/>
  </r>
  <r>
    <s v="ORD0267"/>
    <x v="1"/>
    <s v="Australia"/>
    <x v="4"/>
    <s v="Offline"/>
    <s v="Medium"/>
    <d v="2023-09-24T00:00:00"/>
    <n v="223"/>
    <n v="214.85"/>
    <n v="2.75"/>
    <n v="106"/>
    <n v="70"/>
    <s v="West"/>
    <s v="Electronics"/>
    <n v="223"/>
    <n v="214.85"/>
    <n v="47911.549999999996"/>
    <n v="47298.299999999996"/>
  </r>
  <r>
    <s v="ORD0268"/>
    <x v="1"/>
    <s v="India"/>
    <x v="0"/>
    <s v="Online"/>
    <s v="Medium"/>
    <d v="2023-09-25T00:00:00"/>
    <n v="126"/>
    <n v="80.73"/>
    <n v="72.989999999999995"/>
    <n v="106"/>
    <n v="83"/>
    <s v="West"/>
    <s v="Beverages"/>
    <n v="126"/>
    <n v="80.73"/>
    <n v="10171.980000000001"/>
    <n v="975.2400000000016"/>
  </r>
  <r>
    <s v="ORD0269"/>
    <x v="0"/>
    <s v="UK"/>
    <x v="1"/>
    <s v="Online"/>
    <s v="Medium"/>
    <d v="2023-09-26T00:00:00"/>
    <n v="395"/>
    <n v="121.44"/>
    <n v="13.57"/>
    <n v="91"/>
    <n v="61"/>
    <s v="East"/>
    <s v="Food"/>
    <n v="395"/>
    <n v="121.44"/>
    <n v="47968.799999999996"/>
    <n v="42608.649999999994"/>
  </r>
  <r>
    <s v="ORD0270"/>
    <x v="0"/>
    <s v="India"/>
    <x v="3"/>
    <s v="Offline"/>
    <s v="High"/>
    <d v="2023-09-27T00:00:00"/>
    <n v="353"/>
    <n v="435.28"/>
    <n v="68.42"/>
    <n v="91"/>
    <n v="69"/>
    <s v="East"/>
    <s v="Furniture"/>
    <n v="353"/>
    <n v="435.28"/>
    <n v="153653.84"/>
    <n v="129501.57999999999"/>
  </r>
  <r>
    <s v="ORD0271"/>
    <x v="3"/>
    <s v="UK"/>
    <x v="3"/>
    <s v="Offline"/>
    <s v="High"/>
    <d v="2023-09-28T00:00:00"/>
    <n v="81"/>
    <n v="239.08"/>
    <n v="74.17"/>
    <n v="75"/>
    <n v="69"/>
    <s v="South"/>
    <s v="Furniture"/>
    <n v="81"/>
    <n v="239.08"/>
    <n v="19365.48"/>
    <n v="13357.71"/>
  </r>
  <r>
    <s v="ORD0272"/>
    <x v="1"/>
    <s v="Germany"/>
    <x v="2"/>
    <s v="Offline"/>
    <s v="High"/>
    <d v="2023-09-29T00:00:00"/>
    <n v="404"/>
    <n v="270"/>
    <n v="156.29"/>
    <n v="106"/>
    <n v="67"/>
    <s v="West"/>
    <s v="Clothing"/>
    <n v="404"/>
    <n v="270"/>
    <n v="109080"/>
    <n v="45938.840000000004"/>
  </r>
  <r>
    <s v="ORD0273"/>
    <x v="1"/>
    <s v="USA"/>
    <x v="2"/>
    <s v="Offline"/>
    <s v="High"/>
    <d v="2023-09-30T00:00:00"/>
    <n v="73"/>
    <n v="93.33"/>
    <n v="162.13"/>
    <n v="106"/>
    <n v="67"/>
    <s v="West"/>
    <s v="Clothing"/>
    <n v="73"/>
    <n v="93.33"/>
    <n v="6813.09"/>
    <n v="-5022.3999999999996"/>
  </r>
  <r>
    <s v="ORD0274"/>
    <x v="1"/>
    <s v="India"/>
    <x v="0"/>
    <s v="Online"/>
    <s v="Medium"/>
    <d v="2023-10-01T00:00:00"/>
    <n v="214"/>
    <n v="159.57"/>
    <n v="349.96"/>
    <n v="106"/>
    <n v="83"/>
    <s v="West"/>
    <s v="Beverages"/>
    <n v="214"/>
    <n v="159.57"/>
    <n v="34147.979999999996"/>
    <n v="-40743.460000000006"/>
  </r>
  <r>
    <s v="ORD0275"/>
    <x v="2"/>
    <s v="Australia"/>
    <x v="0"/>
    <s v="Offline"/>
    <s v="Low"/>
    <d v="2023-10-02T00:00:00"/>
    <n v="218"/>
    <n v="118.97"/>
    <n v="205.02"/>
    <n v="78"/>
    <n v="83"/>
    <s v="North"/>
    <s v="Beverages"/>
    <n v="218"/>
    <n v="118.97"/>
    <n v="25935.46"/>
    <n v="-18758.900000000001"/>
  </r>
  <r>
    <s v="ORD0276"/>
    <x v="1"/>
    <s v="Germany"/>
    <x v="4"/>
    <s v="Offline"/>
    <s v="High"/>
    <d v="2023-10-03T00:00:00"/>
    <n v="81"/>
    <n v="107.06"/>
    <n v="289.92"/>
    <n v="106"/>
    <n v="70"/>
    <s v="West"/>
    <s v="Electronics"/>
    <n v="81"/>
    <n v="107.06"/>
    <n v="8671.86"/>
    <n v="-14811.66"/>
  </r>
  <r>
    <s v="ORD0277"/>
    <x v="2"/>
    <s v="India"/>
    <x v="4"/>
    <s v="Offline"/>
    <s v="Low"/>
    <d v="2023-10-04T00:00:00"/>
    <n v="286"/>
    <n v="320.79000000000002"/>
    <n v="43.45"/>
    <n v="78"/>
    <n v="70"/>
    <s v="North"/>
    <s v="Electronics"/>
    <n v="286"/>
    <n v="320.79000000000002"/>
    <n v="91745.94"/>
    <n v="79319.240000000005"/>
  </r>
  <r>
    <s v="ORD0278"/>
    <x v="3"/>
    <s v="Australia"/>
    <x v="0"/>
    <s v="Online"/>
    <s v="High"/>
    <d v="2023-10-05T00:00:00"/>
    <n v="283"/>
    <n v="132.16"/>
    <n v="91.72"/>
    <n v="75"/>
    <n v="83"/>
    <s v="South"/>
    <s v="Beverages"/>
    <n v="283"/>
    <n v="132.16"/>
    <n v="37401.279999999999"/>
    <n v="11444.52"/>
  </r>
  <r>
    <s v="ORD0279"/>
    <x v="2"/>
    <s v="India"/>
    <x v="0"/>
    <s v="Online"/>
    <s v="High"/>
    <d v="2023-10-06T00:00:00"/>
    <n v="487"/>
    <n v="317.85000000000002"/>
    <n v="281.77"/>
    <n v="78"/>
    <n v="83"/>
    <s v="North"/>
    <s v="Beverages"/>
    <n v="487"/>
    <n v="317.85000000000002"/>
    <n v="154792.95000000001"/>
    <n v="17570.960000000021"/>
  </r>
  <r>
    <s v="ORD0280"/>
    <x v="3"/>
    <s v="UK"/>
    <x v="1"/>
    <s v="Offline"/>
    <s v="Low"/>
    <d v="2023-10-07T00:00:00"/>
    <n v="329"/>
    <n v="33.94"/>
    <n v="23.02"/>
    <n v="75"/>
    <n v="61"/>
    <s v="South"/>
    <s v="Food"/>
    <n v="329"/>
    <n v="33.94"/>
    <n v="11166.259999999998"/>
    <n v="3592.6799999999985"/>
  </r>
  <r>
    <s v="ORD0281"/>
    <x v="1"/>
    <s v="India"/>
    <x v="2"/>
    <s v="Online"/>
    <s v="Medium"/>
    <d v="2023-10-08T00:00:00"/>
    <n v="347"/>
    <n v="75.180000000000007"/>
    <n v="195.67"/>
    <n v="106"/>
    <n v="67"/>
    <s v="West"/>
    <s v="Clothing"/>
    <n v="347"/>
    <n v="75.180000000000007"/>
    <n v="26087.460000000003"/>
    <n v="-41810.029999999984"/>
  </r>
  <r>
    <s v="ORD0282"/>
    <x v="1"/>
    <s v="India"/>
    <x v="4"/>
    <s v="Offline"/>
    <s v="High"/>
    <d v="2023-10-09T00:00:00"/>
    <n v="375"/>
    <n v="140.9"/>
    <n v="240.55"/>
    <n v="106"/>
    <n v="70"/>
    <s v="West"/>
    <s v="Electronics"/>
    <n v="375"/>
    <n v="140.9"/>
    <n v="52837.5"/>
    <n v="-37368.75"/>
  </r>
  <r>
    <s v="ORD0283"/>
    <x v="3"/>
    <s v="India"/>
    <x v="2"/>
    <s v="Online"/>
    <s v="High"/>
    <d v="2023-10-10T00:00:00"/>
    <n v="104"/>
    <n v="300.54000000000002"/>
    <n v="241.65"/>
    <n v="75"/>
    <n v="67"/>
    <s v="South"/>
    <s v="Clothing"/>
    <n v="104"/>
    <n v="300.54000000000002"/>
    <n v="31256.160000000003"/>
    <n v="6124.5600000000013"/>
  </r>
  <r>
    <s v="ORD0284"/>
    <x v="0"/>
    <s v="Germany"/>
    <x v="0"/>
    <s v="Online"/>
    <s v="High"/>
    <d v="2023-10-11T00:00:00"/>
    <n v="175"/>
    <n v="339.54"/>
    <n v="11.13"/>
    <n v="91"/>
    <n v="83"/>
    <s v="East"/>
    <s v="Beverages"/>
    <n v="175"/>
    <n v="339.54"/>
    <n v="59419.5"/>
    <n v="57471.75"/>
  </r>
  <r>
    <s v="ORD0285"/>
    <x v="3"/>
    <s v="India"/>
    <x v="0"/>
    <s v="Online"/>
    <s v="Low"/>
    <d v="2023-10-12T00:00:00"/>
    <n v="41"/>
    <n v="224.14"/>
    <n v="130.19999999999999"/>
    <n v="75"/>
    <n v="83"/>
    <s v="South"/>
    <s v="Beverages"/>
    <n v="41"/>
    <n v="224.14"/>
    <n v="9189.74"/>
    <n v="3851.54"/>
  </r>
  <r>
    <s v="ORD0286"/>
    <x v="0"/>
    <s v="Australia"/>
    <x v="1"/>
    <s v="Online"/>
    <s v="Medium"/>
    <d v="2023-10-13T00:00:00"/>
    <n v="20"/>
    <n v="225.67"/>
    <n v="255.32"/>
    <n v="91"/>
    <n v="61"/>
    <s v="East"/>
    <s v="Food"/>
    <n v="20"/>
    <n v="225.67"/>
    <n v="4513.3999999999996"/>
    <n v="-593"/>
  </r>
  <r>
    <s v="ORD0287"/>
    <x v="2"/>
    <s v="UK"/>
    <x v="3"/>
    <s v="Offline"/>
    <s v="Low"/>
    <d v="2023-10-14T00:00:00"/>
    <n v="310"/>
    <n v="363.64"/>
    <n v="61.3"/>
    <n v="78"/>
    <n v="69"/>
    <s v="North"/>
    <s v="Furniture"/>
    <n v="310"/>
    <n v="363.64"/>
    <n v="112728.4"/>
    <n v="93725.4"/>
  </r>
  <r>
    <s v="ORD0288"/>
    <x v="2"/>
    <s v="UK"/>
    <x v="1"/>
    <s v="Offline"/>
    <s v="Low"/>
    <d v="2023-10-15T00:00:00"/>
    <n v="226"/>
    <n v="249.64520588235297"/>
    <n v="278.77999999999997"/>
    <n v="78"/>
    <n v="61"/>
    <s v="North"/>
    <s v="Food"/>
    <n v="226"/>
    <n v="249.64520588235297"/>
    <n v="56419.816529411772"/>
    <n v="-6584.4634705882199"/>
  </r>
  <r>
    <s v="ORD0289"/>
    <x v="2"/>
    <s v="India"/>
    <x v="1"/>
    <s v="Offline"/>
    <s v="Medium"/>
    <d v="2023-10-16T00:00:00"/>
    <n v="255.90294117647059"/>
    <n v="173.84"/>
    <n v="298.88"/>
    <n v="78"/>
    <n v="61"/>
    <s v="North"/>
    <s v="Food"/>
    <n v="255.90294117647059"/>
    <n v="173.84"/>
    <n v="44486.167294117651"/>
    <n v="-31998.103764705884"/>
  </r>
  <r>
    <s v="ORD0290"/>
    <x v="1"/>
    <s v="Germany"/>
    <x v="2"/>
    <s v="Online"/>
    <s v="Low"/>
    <d v="2023-10-17T00:00:00"/>
    <n v="111"/>
    <n v="410.26"/>
    <n v="392.82"/>
    <n v="106"/>
    <n v="67"/>
    <s v="West"/>
    <s v="Clothing"/>
    <n v="111"/>
    <n v="410.26"/>
    <n v="45538.86"/>
    <n v="1935.8400000000038"/>
  </r>
  <r>
    <s v="ORD0291"/>
    <x v="2"/>
    <s v="Germany"/>
    <x v="1"/>
    <s v="Offline"/>
    <s v="Medium"/>
    <d v="2023-10-18T00:00:00"/>
    <n v="434"/>
    <n v="303.58999999999997"/>
    <n v="85.52"/>
    <n v="78"/>
    <n v="61"/>
    <s v="North"/>
    <s v="Food"/>
    <n v="434"/>
    <n v="303.58999999999997"/>
    <n v="131758.06"/>
    <n v="94642.38"/>
  </r>
  <r>
    <s v="ORD0292"/>
    <x v="0"/>
    <s v="Australia"/>
    <x v="4"/>
    <s v="Offline"/>
    <s v="High"/>
    <d v="2023-10-19T00:00:00"/>
    <n v="401"/>
    <n v="171.93"/>
    <n v="330.4"/>
    <n v="91"/>
    <n v="70"/>
    <s v="East"/>
    <s v="Electronics"/>
    <n v="401"/>
    <n v="171.93"/>
    <n v="68943.930000000008"/>
    <n v="-63546.469999999987"/>
  </r>
  <r>
    <s v="ORD0293"/>
    <x v="2"/>
    <s v="India"/>
    <x v="2"/>
    <s v="Offline"/>
    <s v="Medium"/>
    <d v="2023-10-20T00:00:00"/>
    <n v="276"/>
    <n v="453.23"/>
    <n v="209.08"/>
    <n v="78"/>
    <n v="67"/>
    <s v="North"/>
    <s v="Clothing"/>
    <n v="276"/>
    <n v="453.23"/>
    <n v="125091.48000000001"/>
    <n v="67385.400000000009"/>
  </r>
  <r>
    <s v="ORD0294"/>
    <x v="3"/>
    <s v="UK"/>
    <x v="4"/>
    <s v="Online"/>
    <s v="High"/>
    <d v="2023-10-21T00:00:00"/>
    <n v="255.90294117647059"/>
    <n v="387.45"/>
    <n v="150.63999999999999"/>
    <n v="75"/>
    <n v="70"/>
    <s v="South"/>
    <s v="Electronics"/>
    <n v="255.90294117647059"/>
    <n v="387.45"/>
    <n v="99149.594558823534"/>
    <n v="60600.375500000009"/>
  </r>
  <r>
    <s v="ORD0295"/>
    <x v="3"/>
    <s v="Germany"/>
    <x v="3"/>
    <s v="Online"/>
    <s v="Low"/>
    <d v="2023-10-22T00:00:00"/>
    <n v="188"/>
    <n v="136.12"/>
    <n v="50.71"/>
    <n v="75"/>
    <n v="69"/>
    <s v="South"/>
    <s v="Furniture"/>
    <n v="188"/>
    <n v="136.12"/>
    <n v="25590.560000000001"/>
    <n v="16057.080000000002"/>
  </r>
  <r>
    <s v="ORD0296"/>
    <x v="1"/>
    <s v="India"/>
    <x v="2"/>
    <s v="Online"/>
    <s v="Low"/>
    <d v="2023-10-23T00:00:00"/>
    <n v="97"/>
    <n v="324.42"/>
    <n v="294.73"/>
    <n v="106"/>
    <n v="67"/>
    <s v="West"/>
    <s v="Clothing"/>
    <n v="97"/>
    <n v="324.42"/>
    <n v="31468.74"/>
    <n v="2879.9300000000003"/>
  </r>
  <r>
    <s v="ORD0297"/>
    <x v="3"/>
    <s v="Germany"/>
    <x v="3"/>
    <s v="Offline"/>
    <s v="High"/>
    <d v="2023-10-24T00:00:00"/>
    <n v="50"/>
    <n v="299.89999999999998"/>
    <n v="95.87"/>
    <n v="75"/>
    <n v="69"/>
    <s v="South"/>
    <s v="Furniture"/>
    <n v="50"/>
    <n v="299.89999999999998"/>
    <n v="14994.999999999998"/>
    <n v="10201.499999999998"/>
  </r>
  <r>
    <s v="ORD0298"/>
    <x v="0"/>
    <s v="Germany"/>
    <x v="2"/>
    <s v="Offline"/>
    <s v="Low"/>
    <d v="2023-10-25T00:00:00"/>
    <n v="410"/>
    <n v="203.59"/>
    <n v="149.83000000000001"/>
    <n v="91"/>
    <n v="67"/>
    <s v="East"/>
    <s v="Clothing"/>
    <n v="410"/>
    <n v="203.59"/>
    <n v="83471.899999999994"/>
    <n v="22041.599999999991"/>
  </r>
  <r>
    <s v="ORD0299"/>
    <x v="2"/>
    <s v="UK"/>
    <x v="0"/>
    <s v="Offline"/>
    <s v="Medium"/>
    <d v="2023-10-26T00:00:00"/>
    <n v="85"/>
    <n v="186.64"/>
    <n v="26.89"/>
    <n v="78"/>
    <n v="83"/>
    <s v="North"/>
    <s v="Beverages"/>
    <n v="85"/>
    <n v="186.64"/>
    <n v="15864.4"/>
    <n v="13578.75"/>
  </r>
  <r>
    <s v="ORD0300"/>
    <x v="1"/>
    <s v="USA"/>
    <x v="1"/>
    <s v="Online"/>
    <s v="High"/>
    <d v="2023-10-27T00:00:00"/>
    <n v="386"/>
    <n v="175.06"/>
    <n v="320.94"/>
    <n v="106"/>
    <n v="61"/>
    <s v="West"/>
    <s v="Food"/>
    <n v="386"/>
    <n v="175.06"/>
    <n v="67573.16"/>
    <n v="-56309.679999999993"/>
  </r>
  <r>
    <s v="ORD0301"/>
    <x v="2"/>
    <s v="Australia"/>
    <x v="0"/>
    <s v="Online"/>
    <s v="Low"/>
    <d v="2023-10-28T00:00:00"/>
    <n v="55"/>
    <n v="310.49"/>
    <n v="307.10000000000002"/>
    <n v="78"/>
    <n v="83"/>
    <s v="North"/>
    <s v="Beverages"/>
    <n v="55"/>
    <n v="310.49"/>
    <n v="17076.95"/>
    <n v="186.45000000000073"/>
  </r>
  <r>
    <s v="ORD0302"/>
    <x v="2"/>
    <s v="Australia"/>
    <x v="3"/>
    <s v="Offline"/>
    <s v="High"/>
    <d v="2023-10-29T00:00:00"/>
    <n v="169"/>
    <n v="223.99"/>
    <n v="293.98"/>
    <n v="78"/>
    <n v="69"/>
    <s v="North"/>
    <s v="Furniture"/>
    <n v="169"/>
    <n v="223.99"/>
    <n v="37854.310000000005"/>
    <n v="-11828.309999999998"/>
  </r>
  <r>
    <s v="ORD0303"/>
    <x v="0"/>
    <s v="UK"/>
    <x v="1"/>
    <s v="Online"/>
    <s v="Medium"/>
    <d v="2023-10-30T00:00:00"/>
    <n v="472"/>
    <n v="416.77"/>
    <n v="121.18"/>
    <n v="91"/>
    <n v="61"/>
    <s v="East"/>
    <s v="Food"/>
    <n v="472"/>
    <n v="416.77"/>
    <n v="196715.44"/>
    <n v="139518.47999999998"/>
  </r>
  <r>
    <s v="ORD0304"/>
    <x v="3"/>
    <s v="Germany"/>
    <x v="2"/>
    <s v="Online"/>
    <s v="Medium"/>
    <d v="2023-10-31T00:00:00"/>
    <n v="89"/>
    <n v="336.45"/>
    <n v="71.05"/>
    <n v="75"/>
    <n v="67"/>
    <s v="South"/>
    <s v="Clothing"/>
    <n v="89"/>
    <n v="336.45"/>
    <n v="29944.05"/>
    <n v="23620.6"/>
  </r>
  <r>
    <s v="ORD0305"/>
    <x v="3"/>
    <s v="India"/>
    <x v="1"/>
    <s v="Online"/>
    <s v="Low"/>
    <d v="2023-11-01T00:00:00"/>
    <n v="319"/>
    <n v="39.619999999999997"/>
    <n v="255.75"/>
    <n v="75"/>
    <n v="61"/>
    <s v="South"/>
    <s v="Food"/>
    <n v="319"/>
    <n v="39.619999999999997"/>
    <n v="12638.779999999999"/>
    <n v="-68945.47"/>
  </r>
  <r>
    <s v="ORD0306"/>
    <x v="2"/>
    <s v="Germany"/>
    <x v="0"/>
    <s v="Online"/>
    <s v="Medium"/>
    <d v="2023-11-02T00:00:00"/>
    <n v="95"/>
    <n v="321.88"/>
    <n v="199.47"/>
    <n v="78"/>
    <n v="83"/>
    <s v="North"/>
    <s v="Beverages"/>
    <n v="95"/>
    <n v="321.88"/>
    <n v="30578.6"/>
    <n v="11628.949999999997"/>
  </r>
  <r>
    <s v="ORD0307"/>
    <x v="1"/>
    <s v="UK"/>
    <x v="0"/>
    <s v="Offline"/>
    <s v="High"/>
    <d v="2023-11-03T00:00:00"/>
    <n v="101"/>
    <n v="139.22"/>
    <n v="72.94"/>
    <n v="106"/>
    <n v="83"/>
    <s v="West"/>
    <s v="Beverages"/>
    <n v="101"/>
    <n v="139.22"/>
    <n v="14061.22"/>
    <n v="6694.28"/>
  </r>
  <r>
    <s v="ORD0308"/>
    <x v="3"/>
    <s v="Australia"/>
    <x v="0"/>
    <s v="Online"/>
    <s v="Medium"/>
    <d v="2023-11-04T00:00:00"/>
    <n v="157"/>
    <n v="249.64520588235297"/>
    <n v="274.99"/>
    <n v="75"/>
    <n v="83"/>
    <s v="South"/>
    <s v="Beverages"/>
    <n v="157"/>
    <n v="249.64520588235297"/>
    <n v="39194.297323529419"/>
    <n v="-3979.1326764705809"/>
  </r>
  <r>
    <s v="ORD0309"/>
    <x v="1"/>
    <s v="Germany"/>
    <x v="1"/>
    <s v="Online"/>
    <s v="High"/>
    <d v="2023-11-05T00:00:00"/>
    <n v="170"/>
    <n v="341.67"/>
    <n v="396.47"/>
    <n v="106"/>
    <n v="61"/>
    <s v="West"/>
    <s v="Food"/>
    <n v="170"/>
    <n v="341.67"/>
    <n v="58083.9"/>
    <n v="-9316.0000000000073"/>
  </r>
  <r>
    <s v="ORD0310"/>
    <x v="3"/>
    <s v="Australia"/>
    <x v="4"/>
    <s v="Online"/>
    <s v="High"/>
    <d v="2023-11-06T00:00:00"/>
    <n v="211"/>
    <n v="119.26"/>
    <n v="299.39"/>
    <n v="75"/>
    <n v="70"/>
    <s v="South"/>
    <s v="Electronics"/>
    <n v="211"/>
    <n v="119.26"/>
    <n v="25163.86"/>
    <n v="-38007.429999999993"/>
  </r>
  <r>
    <s v="ORD0311"/>
    <x v="1"/>
    <s v="India"/>
    <x v="3"/>
    <s v="Online"/>
    <s v="Medium"/>
    <d v="2023-11-07T00:00:00"/>
    <n v="433"/>
    <n v="231.15"/>
    <n v="296.51"/>
    <n v="106"/>
    <n v="69"/>
    <s v="West"/>
    <s v="Furniture"/>
    <n v="433"/>
    <n v="231.15"/>
    <n v="100087.95"/>
    <n v="-28300.880000000005"/>
  </r>
  <r>
    <s v="ORD0312"/>
    <x v="0"/>
    <s v="Australia"/>
    <x v="0"/>
    <s v="Offline"/>
    <s v="Low"/>
    <d v="2023-11-08T00:00:00"/>
    <n v="425"/>
    <n v="99.21"/>
    <n v="380.22"/>
    <n v="91"/>
    <n v="83"/>
    <s v="East"/>
    <s v="Beverages"/>
    <n v="425"/>
    <n v="99.21"/>
    <n v="42164.25"/>
    <n v="-119429.25"/>
  </r>
  <r>
    <s v="ORD0313"/>
    <x v="1"/>
    <s v="Australia"/>
    <x v="2"/>
    <s v="Offline"/>
    <s v="Medium"/>
    <d v="2023-11-09T00:00:00"/>
    <n v="251"/>
    <n v="30.91"/>
    <n v="82.77"/>
    <n v="106"/>
    <n v="67"/>
    <s v="West"/>
    <s v="Clothing"/>
    <n v="251"/>
    <n v="30.91"/>
    <n v="7758.41"/>
    <n v="-13016.86"/>
  </r>
  <r>
    <s v="ORD0314"/>
    <x v="0"/>
    <s v="USA"/>
    <x v="1"/>
    <s v="Online"/>
    <s v="High"/>
    <d v="2023-11-10T00:00:00"/>
    <n v="255.90294117647059"/>
    <n v="192.35"/>
    <n v="227.09"/>
    <n v="91"/>
    <n v="61"/>
    <s v="East"/>
    <s v="Food"/>
    <n v="255.90294117647059"/>
    <n v="192.35"/>
    <n v="49222.930735294118"/>
    <n v="-8890.0681764705878"/>
  </r>
  <r>
    <s v="ORD0315"/>
    <x v="0"/>
    <s v="USA"/>
    <x v="0"/>
    <s v="Online"/>
    <s v="High"/>
    <d v="2023-11-11T00:00:00"/>
    <n v="11"/>
    <n v="184.66"/>
    <n v="391.9"/>
    <n v="91"/>
    <n v="83"/>
    <s v="East"/>
    <s v="Beverages"/>
    <n v="11"/>
    <n v="184.66"/>
    <n v="2031.26"/>
    <n v="-2279.6399999999994"/>
  </r>
  <r>
    <s v="ORD0316"/>
    <x v="1"/>
    <s v="USA"/>
    <x v="2"/>
    <s v="Online"/>
    <s v="Medium"/>
    <d v="2023-11-12T00:00:00"/>
    <n v="234"/>
    <n v="497.76"/>
    <n v="67.790000000000006"/>
    <n v="106"/>
    <n v="67"/>
    <s v="West"/>
    <s v="Clothing"/>
    <n v="234"/>
    <n v="497.76"/>
    <n v="116475.84"/>
    <n v="100612.98"/>
  </r>
  <r>
    <s v="ORD0317"/>
    <x v="0"/>
    <s v="Australia"/>
    <x v="2"/>
    <s v="Online"/>
    <s v="Low"/>
    <d v="2023-11-13T00:00:00"/>
    <n v="255.90294117647059"/>
    <n v="225.94"/>
    <n v="280.7"/>
    <n v="91"/>
    <n v="67"/>
    <s v="East"/>
    <s v="Clothing"/>
    <n v="255.90294117647059"/>
    <n v="225.94"/>
    <n v="57818.710529411765"/>
    <n v="-14013.245058823522"/>
  </r>
  <r>
    <s v="ORD0318"/>
    <x v="2"/>
    <s v="UK"/>
    <x v="4"/>
    <s v="Online"/>
    <s v="Low"/>
    <d v="2023-11-14T00:00:00"/>
    <n v="242"/>
    <n v="170.12"/>
    <n v="235.15"/>
    <n v="78"/>
    <n v="70"/>
    <s v="North"/>
    <s v="Electronics"/>
    <n v="242"/>
    <n v="170.12"/>
    <n v="41169.040000000001"/>
    <n v="-15737.260000000002"/>
  </r>
  <r>
    <s v="ORD0319"/>
    <x v="0"/>
    <s v="Australia"/>
    <x v="3"/>
    <s v="Online"/>
    <s v="High"/>
    <d v="2023-11-15T00:00:00"/>
    <n v="470"/>
    <n v="292.33999999999997"/>
    <n v="235.42"/>
    <n v="91"/>
    <n v="69"/>
    <s v="East"/>
    <s v="Furniture"/>
    <n v="470"/>
    <n v="292.33999999999997"/>
    <n v="137399.79999999999"/>
    <n v="26752.399999999994"/>
  </r>
  <r>
    <s v="ORD0320"/>
    <x v="3"/>
    <s v="UK"/>
    <x v="3"/>
    <s v="Offline"/>
    <s v="High"/>
    <d v="2023-11-16T00:00:00"/>
    <n v="423"/>
    <n v="48.94"/>
    <n v="279.67"/>
    <n v="75"/>
    <n v="69"/>
    <s v="South"/>
    <s v="Furniture"/>
    <n v="423"/>
    <n v="48.94"/>
    <n v="20701.62"/>
    <n v="-97598.790000000008"/>
  </r>
  <r>
    <s v="ORD0321"/>
    <x v="1"/>
    <s v="UK"/>
    <x v="0"/>
    <s v="Online"/>
    <s v="Low"/>
    <d v="2023-11-17T00:00:00"/>
    <n v="426"/>
    <n v="481.02"/>
    <n v="371.99"/>
    <n v="106"/>
    <n v="83"/>
    <s v="West"/>
    <s v="Beverages"/>
    <n v="426"/>
    <n v="481.02"/>
    <n v="204914.52"/>
    <n v="46446.78"/>
  </r>
  <r>
    <s v="ORD0322"/>
    <x v="2"/>
    <s v="USA"/>
    <x v="3"/>
    <s v="Offline"/>
    <s v="Medium"/>
    <d v="2023-11-18T00:00:00"/>
    <n v="86"/>
    <n v="319.31"/>
    <n v="313.47000000000003"/>
    <n v="78"/>
    <n v="69"/>
    <s v="North"/>
    <s v="Furniture"/>
    <n v="86"/>
    <n v="319.31"/>
    <n v="27460.66"/>
    <n v="502.23999999999796"/>
  </r>
  <r>
    <s v="ORD0323"/>
    <x v="1"/>
    <s v="Germany"/>
    <x v="1"/>
    <s v="Offline"/>
    <s v="High"/>
    <d v="2023-11-19T00:00:00"/>
    <n v="125"/>
    <n v="378.64"/>
    <n v="24.34"/>
    <n v="106"/>
    <n v="61"/>
    <s v="West"/>
    <s v="Food"/>
    <n v="125"/>
    <n v="378.64"/>
    <n v="47330"/>
    <n v="44287.5"/>
  </r>
  <r>
    <s v="ORD0324"/>
    <x v="3"/>
    <s v="India"/>
    <x v="0"/>
    <s v="Online"/>
    <s v="High"/>
    <d v="2023-11-20T00:00:00"/>
    <n v="163"/>
    <n v="89.39"/>
    <n v="341.39"/>
    <n v="75"/>
    <n v="83"/>
    <s v="South"/>
    <s v="Beverages"/>
    <n v="163"/>
    <n v="89.39"/>
    <n v="14570.57"/>
    <n v="-41076"/>
  </r>
  <r>
    <s v="ORD0325"/>
    <x v="3"/>
    <s v="USA"/>
    <x v="0"/>
    <s v="Offline"/>
    <s v="Low"/>
    <d v="2023-11-21T00:00:00"/>
    <n v="415"/>
    <n v="207.69"/>
    <n v="91.77"/>
    <n v="75"/>
    <n v="83"/>
    <s v="South"/>
    <s v="Beverages"/>
    <n v="415"/>
    <n v="207.69"/>
    <n v="86191.35"/>
    <n v="48106.80000000001"/>
  </r>
  <r>
    <s v="ORD0326"/>
    <x v="3"/>
    <s v="USA"/>
    <x v="3"/>
    <s v="Offline"/>
    <s v="Medium"/>
    <d v="2023-11-22T00:00:00"/>
    <n v="112"/>
    <n v="214.23"/>
    <n v="152.01"/>
    <n v="75"/>
    <n v="69"/>
    <s v="South"/>
    <s v="Furniture"/>
    <n v="112"/>
    <n v="214.23"/>
    <n v="23993.759999999998"/>
    <n v="6968.6399999999994"/>
  </r>
  <r>
    <s v="ORD0327"/>
    <x v="0"/>
    <s v="Germany"/>
    <x v="1"/>
    <s v="Offline"/>
    <s v="Low"/>
    <d v="2023-11-23T00:00:00"/>
    <n v="203"/>
    <n v="411.79"/>
    <n v="185.77"/>
    <n v="91"/>
    <n v="61"/>
    <s v="East"/>
    <s v="Food"/>
    <n v="203"/>
    <n v="411.79"/>
    <n v="83593.37000000001"/>
    <n v="45882.060000000005"/>
  </r>
  <r>
    <s v="ORD0328"/>
    <x v="0"/>
    <s v="India"/>
    <x v="4"/>
    <s v="Offline"/>
    <s v="Medium"/>
    <d v="2023-11-24T00:00:00"/>
    <n v="255.90294117647059"/>
    <n v="5.61"/>
    <n v="193.4"/>
    <n v="91"/>
    <n v="70"/>
    <s v="East"/>
    <s v="Electronics"/>
    <n v="255.90294117647059"/>
    <n v="5.61"/>
    <n v="1435.6155000000001"/>
    <n v="-48056.013323529412"/>
  </r>
  <r>
    <s v="ORD0329"/>
    <x v="1"/>
    <s v="Australia"/>
    <x v="0"/>
    <s v="Offline"/>
    <s v="Medium"/>
    <d v="2023-11-25T00:00:00"/>
    <n v="368"/>
    <n v="153.91999999999999"/>
    <n v="175.2"/>
    <n v="106"/>
    <n v="83"/>
    <s v="West"/>
    <s v="Beverages"/>
    <n v="368"/>
    <n v="153.91999999999999"/>
    <n v="56642.559999999998"/>
    <n v="-7831.0400000000009"/>
  </r>
  <r>
    <s v="ORD0330"/>
    <x v="1"/>
    <s v="Australia"/>
    <x v="4"/>
    <s v="Offline"/>
    <s v="Medium"/>
    <d v="2023-11-26T00:00:00"/>
    <n v="99"/>
    <n v="490.71"/>
    <n v="375.07"/>
    <n v="106"/>
    <n v="70"/>
    <s v="West"/>
    <s v="Electronics"/>
    <n v="99"/>
    <n v="490.71"/>
    <n v="48580.29"/>
    <n v="11448.36"/>
  </r>
  <r>
    <s v="ORD0331"/>
    <x v="2"/>
    <s v="USA"/>
    <x v="4"/>
    <s v="Online"/>
    <s v="High"/>
    <d v="2023-11-27T00:00:00"/>
    <n v="183"/>
    <n v="240.07"/>
    <n v="283"/>
    <n v="78"/>
    <n v="70"/>
    <s v="North"/>
    <s v="Electronics"/>
    <n v="183"/>
    <n v="240.07"/>
    <n v="43932.81"/>
    <n v="-7856.1900000000023"/>
  </r>
  <r>
    <s v="ORD0332"/>
    <x v="1"/>
    <s v="India"/>
    <x v="4"/>
    <s v="Offline"/>
    <s v="Low"/>
    <d v="2023-11-28T00:00:00"/>
    <n v="131"/>
    <n v="194.35"/>
    <n v="253.21"/>
    <n v="106"/>
    <n v="70"/>
    <s v="West"/>
    <s v="Electronics"/>
    <n v="131"/>
    <n v="194.35"/>
    <n v="25459.85"/>
    <n v="-7710.6600000000035"/>
  </r>
  <r>
    <s v="ORD0333"/>
    <x v="1"/>
    <s v="USA"/>
    <x v="2"/>
    <s v="Offline"/>
    <s v="Low"/>
    <d v="2023-11-29T00:00:00"/>
    <n v="152"/>
    <n v="64.319999999999993"/>
    <n v="21.84"/>
    <n v="106"/>
    <n v="67"/>
    <s v="West"/>
    <s v="Clothing"/>
    <n v="152"/>
    <n v="64.319999999999993"/>
    <n v="9776.64"/>
    <n v="6456.9599999999991"/>
  </r>
  <r>
    <s v="ORD0334"/>
    <x v="0"/>
    <s v="UK"/>
    <x v="2"/>
    <s v="Offline"/>
    <s v="Medium"/>
    <d v="2023-11-30T00:00:00"/>
    <n v="491"/>
    <n v="487.21"/>
    <n v="361.76"/>
    <n v="91"/>
    <n v="67"/>
    <s v="East"/>
    <s v="Clothing"/>
    <n v="491"/>
    <n v="487.21"/>
    <n v="239220.11"/>
    <n v="61595.949999999983"/>
  </r>
  <r>
    <s v="ORD0335"/>
    <x v="3"/>
    <s v="USA"/>
    <x v="4"/>
    <s v="Online"/>
    <s v="High"/>
    <d v="2023-12-01T00:00:00"/>
    <n v="115"/>
    <n v="14.91"/>
    <n v="363.94"/>
    <n v="75"/>
    <n v="70"/>
    <s v="South"/>
    <s v="Electronics"/>
    <n v="115"/>
    <n v="14.91"/>
    <n v="1714.65"/>
    <n v="-40138.449999999997"/>
  </r>
  <r>
    <s v="ORD0336"/>
    <x v="1"/>
    <s v="USA"/>
    <x v="0"/>
    <s v="Offline"/>
    <s v="High"/>
    <d v="2023-12-02T00:00:00"/>
    <n v="384"/>
    <n v="369.9"/>
    <n v="312.52"/>
    <n v="106"/>
    <n v="83"/>
    <s v="West"/>
    <s v="Beverages"/>
    <n v="384"/>
    <n v="369.9"/>
    <n v="142041.59999999998"/>
    <n v="22033.919999999984"/>
  </r>
  <r>
    <s v="ORD0337"/>
    <x v="2"/>
    <s v="Australia"/>
    <x v="1"/>
    <s v="Online"/>
    <s v="Low"/>
    <d v="2023-12-03T00:00:00"/>
    <n v="437"/>
    <n v="385.46"/>
    <n v="4.8"/>
    <n v="78"/>
    <n v="61"/>
    <s v="North"/>
    <s v="Food"/>
    <n v="437"/>
    <n v="385.46"/>
    <n v="168446.02"/>
    <n v="166348.41999999998"/>
  </r>
  <r>
    <s v="ORD0338"/>
    <x v="0"/>
    <s v="Australia"/>
    <x v="1"/>
    <s v="Offline"/>
    <s v="High"/>
    <d v="2023-12-04T00:00:00"/>
    <n v="314"/>
    <n v="125.61"/>
    <n v="24.8"/>
    <n v="91"/>
    <n v="61"/>
    <s v="East"/>
    <s v="Food"/>
    <n v="314"/>
    <n v="125.61"/>
    <n v="39441.54"/>
    <n v="31654.34"/>
  </r>
  <r>
    <s v="ORD0339"/>
    <x v="1"/>
    <s v="Australia"/>
    <x v="3"/>
    <s v="Online"/>
    <s v="High"/>
    <d v="2023-12-05T00:00:00"/>
    <n v="369"/>
    <n v="337.42"/>
    <n v="91.64"/>
    <n v="106"/>
    <n v="69"/>
    <s v="West"/>
    <s v="Furniture"/>
    <n v="369"/>
    <n v="337.42"/>
    <n v="124507.98000000001"/>
    <n v="90692.82"/>
  </r>
  <r>
    <s v="ORD0340"/>
    <x v="1"/>
    <s v="UK"/>
    <x v="0"/>
    <s v="Online"/>
    <s v="Medium"/>
    <d v="2023-12-06T00:00:00"/>
    <n v="468"/>
    <n v="51"/>
    <n v="54.28"/>
    <n v="106"/>
    <n v="83"/>
    <s v="West"/>
    <s v="Beverages"/>
    <n v="468"/>
    <n v="51"/>
    <n v="23868"/>
    <n v="-1535.0400000000009"/>
  </r>
  <r>
    <s v="ORD0341"/>
    <x v="0"/>
    <s v="Australia"/>
    <x v="2"/>
    <s v="Offline"/>
    <s v="High"/>
    <d v="2023-12-07T00:00:00"/>
    <n v="326"/>
    <n v="132.24"/>
    <n v="160.74"/>
    <n v="91"/>
    <n v="67"/>
    <s v="East"/>
    <s v="Clothing"/>
    <n v="326"/>
    <n v="132.24"/>
    <n v="43110.240000000005"/>
    <n v="-9291"/>
  </r>
  <r>
    <s v="ORD0342"/>
    <x v="1"/>
    <s v="India"/>
    <x v="4"/>
    <s v="Offline"/>
    <s v="Medium"/>
    <d v="2023-12-08T00:00:00"/>
    <n v="460"/>
    <n v="395.01"/>
    <n v="369.2"/>
    <n v="106"/>
    <n v="70"/>
    <s v="West"/>
    <s v="Electronics"/>
    <n v="460"/>
    <n v="395.01"/>
    <n v="181704.6"/>
    <n v="11872.600000000006"/>
  </r>
  <r>
    <s v="ORD0343"/>
    <x v="0"/>
    <s v="Germany"/>
    <x v="3"/>
    <s v="Online"/>
    <s v="Low"/>
    <d v="2023-12-09T00:00:00"/>
    <n v="132"/>
    <n v="433.02"/>
    <n v="189.88"/>
    <n v="91"/>
    <n v="69"/>
    <s v="East"/>
    <s v="Furniture"/>
    <n v="132"/>
    <n v="433.02"/>
    <n v="57158.64"/>
    <n v="32094.48"/>
  </r>
  <r>
    <s v="ORD0344"/>
    <x v="3"/>
    <s v="India"/>
    <x v="1"/>
    <s v="Offline"/>
    <s v="High"/>
    <d v="2023-12-10T00:00:00"/>
    <n v="399"/>
    <n v="306.2"/>
    <n v="7.33"/>
    <n v="75"/>
    <n v="61"/>
    <s v="South"/>
    <s v="Food"/>
    <n v="399"/>
    <n v="306.2"/>
    <n v="122173.79999999999"/>
    <n v="119249.12999999999"/>
  </r>
  <r>
    <s v="ORD0345"/>
    <x v="0"/>
    <s v="India"/>
    <x v="2"/>
    <s v="Online"/>
    <s v="Low"/>
    <d v="2023-12-11T00:00:00"/>
    <n v="18"/>
    <n v="255.89"/>
    <n v="114.53"/>
    <n v="91"/>
    <n v="67"/>
    <s v="East"/>
    <s v="Clothing"/>
    <n v="18"/>
    <n v="255.89"/>
    <n v="4606.0199999999995"/>
    <n v="2544.4799999999996"/>
  </r>
  <r>
    <s v="ORD0346"/>
    <x v="0"/>
    <s v="Australia"/>
    <x v="2"/>
    <s v="Online"/>
    <s v="Low"/>
    <d v="2023-12-12T00:00:00"/>
    <n v="271"/>
    <n v="83.86"/>
    <n v="19.75"/>
    <n v="91"/>
    <n v="67"/>
    <s v="East"/>
    <s v="Clothing"/>
    <n v="271"/>
    <n v="83.86"/>
    <n v="22726.06"/>
    <n v="17373.810000000001"/>
  </r>
  <r>
    <s v="ORD0347"/>
    <x v="1"/>
    <s v="Germany"/>
    <x v="4"/>
    <s v="Online"/>
    <s v="High"/>
    <d v="2023-12-13T00:00:00"/>
    <n v="82"/>
    <n v="36.24"/>
    <n v="16.440000000000001"/>
    <n v="106"/>
    <n v="70"/>
    <s v="West"/>
    <s v="Electronics"/>
    <n v="82"/>
    <n v="36.24"/>
    <n v="2971.6800000000003"/>
    <n v="1623.6000000000001"/>
  </r>
  <r>
    <s v="ORD0348"/>
    <x v="1"/>
    <s v="Germany"/>
    <x v="1"/>
    <s v="Online"/>
    <s v="High"/>
    <d v="2023-12-14T00:00:00"/>
    <n v="368"/>
    <n v="63.24"/>
    <n v="111.74"/>
    <n v="106"/>
    <n v="61"/>
    <s v="West"/>
    <s v="Food"/>
    <n v="368"/>
    <n v="63.24"/>
    <n v="23272.32"/>
    <n v="-17848"/>
  </r>
  <r>
    <s v="ORD0349"/>
    <x v="1"/>
    <s v="Germany"/>
    <x v="0"/>
    <s v="Online"/>
    <s v="Low"/>
    <d v="2023-12-15T00:00:00"/>
    <n v="232"/>
    <n v="117.54"/>
    <n v="111.69"/>
    <n v="106"/>
    <n v="83"/>
    <s v="West"/>
    <s v="Beverages"/>
    <n v="232"/>
    <n v="117.54"/>
    <n v="27269.280000000002"/>
    <n v="1357.2000000000044"/>
  </r>
  <r>
    <s v="ORD0350"/>
    <x v="0"/>
    <s v="UK"/>
    <x v="2"/>
    <s v="Offline"/>
    <s v="High"/>
    <d v="2023-12-16T00:00:00"/>
    <n v="425"/>
    <n v="174.13"/>
    <n v="315.27999999999997"/>
    <n v="91"/>
    <n v="67"/>
    <s v="East"/>
    <s v="Clothing"/>
    <n v="425"/>
    <n v="174.13"/>
    <n v="74005.25"/>
    <n v="-59988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20BB99-F613-4FC9-BF9E-28860C4F3707}" name="PivotTable1" cacheId="41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18">
    <pivotField compact="0" outline="0" showAll="0"/>
    <pivotField axis="axisRow"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" fld="1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852F02-589F-4196-AE4B-FA4EB3D4A362}" name="PivotTable2" cacheId="41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F10" firstHeaderRow="1" firstDataRow="2" firstDataCol="1"/>
  <pivotFields count="18">
    <pivotField compact="0" outline="0" showAll="0"/>
    <pivotField axis="axisCol"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axis="axisRow" compact="0" outline="0" showAll="0">
      <items count="6">
        <item x="0"/>
        <item x="2"/>
        <item x="4"/>
        <item x="1"/>
        <item x="3"/>
        <item t="default"/>
      </items>
    </pivotField>
    <pivotField compact="0" outline="0" showAll="0"/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Revenue" fld="16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661ADA5-C02C-4084-BF0A-6FAF57CF7266}">
  <we:reference id="WA200005502" version="1.0.0.12" store="en-US" storeType="omex"/>
  <we:alternateReferences>
    <we:reference id="WA200005502" version="1.0.0.12" store="en-US" storeType="omex"/>
  </we:alternateReferences>
  <we:properties>
    <we:property name="docId" value="&quot;Af07GOIUXUkEYe1ryRaCZ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979FD-6964-4C17-8E7B-AD73B8F2FA98}">
  <dimension ref="A3:B8"/>
  <sheetViews>
    <sheetView workbookViewId="0">
      <selection activeCell="C15" sqref="C15"/>
    </sheetView>
  </sheetViews>
  <sheetFormatPr defaultRowHeight="15"/>
  <cols>
    <col min="1" max="1" width="11.140625" bestFit="1" customWidth="1"/>
    <col min="2" max="2" width="15.28515625" bestFit="1" customWidth="1"/>
  </cols>
  <sheetData>
    <row r="3" spans="1:2">
      <c r="A3" s="11" t="s">
        <v>0</v>
      </c>
      <c r="B3" t="s">
        <v>1</v>
      </c>
    </row>
    <row r="4" spans="1:2">
      <c r="A4" t="s">
        <v>2</v>
      </c>
      <c r="B4" s="12">
        <v>12493.090143826765</v>
      </c>
    </row>
    <row r="5" spans="1:2">
      <c r="A5" t="s">
        <v>3</v>
      </c>
      <c r="B5" s="12">
        <v>16728.373098416283</v>
      </c>
    </row>
    <row r="6" spans="1:2">
      <c r="A6" t="s">
        <v>4</v>
      </c>
      <c r="B6" s="12">
        <v>19174.390289411767</v>
      </c>
    </row>
    <row r="7" spans="1:2">
      <c r="A7" t="s">
        <v>5</v>
      </c>
      <c r="B7" s="12">
        <v>11221.250925915656</v>
      </c>
    </row>
    <row r="8" spans="1:2">
      <c r="A8" t="s">
        <v>6</v>
      </c>
      <c r="B8" s="12">
        <v>14483.474784621831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7DFD3-D335-4991-9D61-549B3A5A63EA}">
  <dimension ref="A1:A16"/>
  <sheetViews>
    <sheetView topLeftCell="A14" workbookViewId="0">
      <selection activeCell="H22" sqref="H22"/>
    </sheetView>
  </sheetViews>
  <sheetFormatPr defaultRowHeight="15"/>
  <cols>
    <col min="1" max="1" width="12.28515625" bestFit="1" customWidth="1"/>
  </cols>
  <sheetData>
    <row r="1" spans="1:1">
      <c r="A1">
        <f>SUM(Sheet1!Q2:Q351)</f>
        <v>22459473.438529406</v>
      </c>
    </row>
    <row r="2" spans="1:1">
      <c r="A2">
        <f>AVERAGE(Sheet1!R2:R351)</f>
        <v>14483.474784621847</v>
      </c>
    </row>
    <row r="3" spans="1:1">
      <c r="A3" t="str" cm="1">
        <f t="array" ref="A3:A6">_xlfn.UNIQUE(Sheet1!B2:B351)</f>
        <v>East</v>
      </c>
    </row>
    <row r="4" spans="1:1">
      <c r="A4" t="str">
        <v>West</v>
      </c>
    </row>
    <row r="5" spans="1:1">
      <c r="A5" t="str">
        <v>North</v>
      </c>
    </row>
    <row r="6" spans="1:1">
      <c r="A6" t="str">
        <v>South</v>
      </c>
    </row>
    <row r="8" spans="1:1">
      <c r="A8">
        <f>SUMIFS(Sheet1!Q:Q,Sheet1!B:B,D4)</f>
        <v>0</v>
      </c>
    </row>
    <row r="10" spans="1:1">
      <c r="A10" t="str" cm="1">
        <f t="array" ref="A10:A14">_xlfn.UNIQUE(Sheet1!D2:D351)</f>
        <v>Beverages</v>
      </c>
    </row>
    <row r="11" spans="1:1">
      <c r="A11" t="str">
        <v>Food</v>
      </c>
    </row>
    <row r="12" spans="1:1">
      <c r="A12" t="str">
        <v>Clothing</v>
      </c>
    </row>
    <row r="13" spans="1:1">
      <c r="A13" t="str">
        <v>Furniture</v>
      </c>
    </row>
    <row r="14" spans="1:1">
      <c r="A14" t="str">
        <v>Electronics</v>
      </c>
    </row>
    <row r="16" spans="1:1">
      <c r="A16">
        <f>SUMIFS(Sheet1!Q:Q,Sheet1!D:D,H4)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C2E6D-F8A2-4362-A8F8-E827CA9C72CB}">
  <dimension ref="A3:F10"/>
  <sheetViews>
    <sheetView topLeftCell="B1" workbookViewId="0">
      <selection activeCell="E14" sqref="E14"/>
    </sheetView>
  </sheetViews>
  <sheetFormatPr defaultRowHeight="15"/>
  <cols>
    <col min="1" max="1" width="19.85546875" bestFit="1" customWidth="1"/>
    <col min="2" max="6" width="12.28515625" bestFit="1" customWidth="1"/>
  </cols>
  <sheetData>
    <row r="3" spans="1:6">
      <c r="A3" s="11" t="s">
        <v>7</v>
      </c>
      <c r="B3" s="11" t="s">
        <v>0</v>
      </c>
    </row>
    <row r="4" spans="1:6">
      <c r="A4" s="11" t="s">
        <v>8</v>
      </c>
      <c r="B4" t="s">
        <v>2</v>
      </c>
      <c r="C4" t="s">
        <v>3</v>
      </c>
      <c r="D4" t="s">
        <v>4</v>
      </c>
      <c r="E4" t="s">
        <v>5</v>
      </c>
      <c r="F4" t="s">
        <v>6</v>
      </c>
    </row>
    <row r="5" spans="1:6">
      <c r="A5" t="s">
        <v>9</v>
      </c>
      <c r="B5" s="12">
        <v>1110756.69</v>
      </c>
      <c r="C5" s="12">
        <v>1276139.23</v>
      </c>
      <c r="D5" s="12">
        <v>1199637.7073235295</v>
      </c>
      <c r="E5" s="12">
        <v>1977673.9300000004</v>
      </c>
      <c r="F5" s="12">
        <v>5564207.5573235303</v>
      </c>
    </row>
    <row r="6" spans="1:6">
      <c r="A6" t="s">
        <v>10</v>
      </c>
      <c r="B6" s="12">
        <v>1587286.2385882351</v>
      </c>
      <c r="C6" s="12">
        <v>629674.48532352934</v>
      </c>
      <c r="D6" s="12">
        <v>496502.89000000007</v>
      </c>
      <c r="E6" s="12">
        <v>1133988.9397941174</v>
      </c>
      <c r="F6" s="12">
        <v>3847452.5537058823</v>
      </c>
    </row>
    <row r="7" spans="1:6">
      <c r="A7" t="s">
        <v>11</v>
      </c>
      <c r="B7" s="12">
        <v>946379.13550000009</v>
      </c>
      <c r="C7" s="12">
        <v>950484.27000000025</v>
      </c>
      <c r="D7" s="12">
        <v>1068292.4033823528</v>
      </c>
      <c r="E7" s="12">
        <v>1557975.7660882357</v>
      </c>
      <c r="F7" s="12">
        <v>4523131.5749705881</v>
      </c>
    </row>
    <row r="8" spans="1:6">
      <c r="A8" t="s">
        <v>12</v>
      </c>
      <c r="B8" s="12">
        <v>886856.06402941176</v>
      </c>
      <c r="C8" s="12">
        <v>1658446.5176176473</v>
      </c>
      <c r="D8" s="12">
        <v>695848.67332352931</v>
      </c>
      <c r="E8" s="12">
        <v>823912.55552941165</v>
      </c>
      <c r="F8" s="12">
        <v>4065063.8104999997</v>
      </c>
    </row>
    <row r="9" spans="1:6">
      <c r="A9" t="s">
        <v>13</v>
      </c>
      <c r="B9" s="12">
        <v>1764250.2584411765</v>
      </c>
      <c r="C9" s="12">
        <v>731274.15</v>
      </c>
      <c r="D9" s="12">
        <v>832820.25000000012</v>
      </c>
      <c r="E9" s="12">
        <v>1131273.2835882353</v>
      </c>
      <c r="F9" s="12">
        <v>4459617.9420294119</v>
      </c>
    </row>
    <row r="10" spans="1:6">
      <c r="A10" t="s">
        <v>6</v>
      </c>
      <c r="B10" s="12">
        <v>6295528.3865588224</v>
      </c>
      <c r="C10" s="12">
        <v>5246018.6529411776</v>
      </c>
      <c r="D10" s="12">
        <v>4293101.9240294117</v>
      </c>
      <c r="E10" s="12">
        <v>6624824.4750000006</v>
      </c>
      <c r="F10" s="12">
        <v>22459473.438529413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51"/>
  <sheetViews>
    <sheetView tabSelected="1" topLeftCell="M1" workbookViewId="0">
      <selection activeCell="T7" sqref="T7"/>
    </sheetView>
  </sheetViews>
  <sheetFormatPr defaultRowHeight="15"/>
  <cols>
    <col min="4" max="4" width="10.28515625" bestFit="1" customWidth="1"/>
    <col min="5" max="6" width="13.140625" bestFit="1" customWidth="1"/>
    <col min="7" max="7" width="16.5703125" bestFit="1" customWidth="1"/>
    <col min="8" max="8" width="9.85546875" bestFit="1" customWidth="1"/>
    <col min="9" max="9" width="9.5703125" bestFit="1" customWidth="1"/>
    <col min="15" max="15" width="12.42578125" customWidth="1"/>
    <col min="16" max="16" width="14.85546875" customWidth="1"/>
    <col min="25" max="25" width="13.5703125" customWidth="1"/>
  </cols>
  <sheetData>
    <row r="1" spans="1:26">
      <c r="A1" s="1" t="s">
        <v>14</v>
      </c>
      <c r="B1" s="2" t="s">
        <v>0</v>
      </c>
      <c r="C1" s="2" t="s">
        <v>15</v>
      </c>
      <c r="D1" s="2" t="s">
        <v>8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</row>
    <row r="2" spans="1:26">
      <c r="A2" s="3" t="s">
        <v>30</v>
      </c>
      <c r="B2" s="4" t="s">
        <v>2</v>
      </c>
      <c r="C2" s="4" t="s">
        <v>31</v>
      </c>
      <c r="D2" s="4" t="s">
        <v>9</v>
      </c>
      <c r="E2" s="4" t="s">
        <v>32</v>
      </c>
      <c r="F2" s="4" t="s">
        <v>33</v>
      </c>
      <c r="G2" s="5">
        <v>44927</v>
      </c>
      <c r="H2" s="4">
        <v>235</v>
      </c>
      <c r="I2" s="4">
        <v>152.91999999999999</v>
      </c>
      <c r="J2" s="6">
        <v>153.6</v>
      </c>
      <c r="K2">
        <f>IF(B2="",0,COUNTIF($B$2:$B$351,B2))</f>
        <v>91</v>
      </c>
      <c r="L2">
        <f>IF(D2="",0,COUNTIF($D$2:$D$351,D2))</f>
        <v>83</v>
      </c>
      <c r="M2" t="str">
        <f>IF(B2="",$Z$18,B2)</f>
        <v>East</v>
      </c>
      <c r="N2" t="str">
        <f>IF(D2="",$Z$19,D2)</f>
        <v>Beverages</v>
      </c>
      <c r="O2">
        <f>IF(H2="",$Y$24,H2)</f>
        <v>235</v>
      </c>
      <c r="P2">
        <f>IF(I2="",$Z$24,I2)</f>
        <v>152.91999999999999</v>
      </c>
      <c r="Q2">
        <f>H2*I2</f>
        <v>35936.199999999997</v>
      </c>
      <c r="R2">
        <f>Q2-(H2*J2)</f>
        <v>-159.80000000000291</v>
      </c>
    </row>
    <row r="3" spans="1:26">
      <c r="A3" s="3" t="s">
        <v>34</v>
      </c>
      <c r="B3" s="4" t="s">
        <v>5</v>
      </c>
      <c r="C3" s="4" t="s">
        <v>35</v>
      </c>
      <c r="D3" s="4" t="s">
        <v>12</v>
      </c>
      <c r="E3" s="4" t="s">
        <v>32</v>
      </c>
      <c r="F3" s="4" t="s">
        <v>36</v>
      </c>
      <c r="G3" s="5">
        <v>44928</v>
      </c>
      <c r="H3" s="4">
        <v>341</v>
      </c>
      <c r="I3" s="4">
        <v>467.92</v>
      </c>
      <c r="J3" s="6">
        <v>139.84</v>
      </c>
      <c r="K3">
        <f t="shared" ref="K3:K66" si="0">IF(B3="",0,COUNTIF($B$2:$B$351,B3))</f>
        <v>106</v>
      </c>
      <c r="L3">
        <f t="shared" ref="L3:L66" si="1">IF(D3="",0,COUNTIF($D$2:$D$351,D3))</f>
        <v>61</v>
      </c>
      <c r="M3" t="str">
        <f>IF(B3="",$Z$18,B3)</f>
        <v>West</v>
      </c>
      <c r="N3" t="str">
        <f>IF(D3="",$Z$19,D3)</f>
        <v>Food</v>
      </c>
      <c r="O3">
        <f>IF(H3="",$Y$24,H3)</f>
        <v>341</v>
      </c>
      <c r="P3">
        <f>IF(I3="",$Z$24,I3)</f>
        <v>467.92</v>
      </c>
      <c r="Q3">
        <f t="shared" ref="Q3:Q66" si="2">H3*I3</f>
        <v>159560.72</v>
      </c>
      <c r="R3">
        <f t="shared" ref="R3:R66" si="3">Q3-(H3*J3)</f>
        <v>111875.28</v>
      </c>
    </row>
    <row r="4" spans="1:26">
      <c r="A4" s="3" t="s">
        <v>37</v>
      </c>
      <c r="B4" s="4" t="s">
        <v>3</v>
      </c>
      <c r="C4" s="4" t="s">
        <v>35</v>
      </c>
      <c r="D4" s="4" t="s">
        <v>10</v>
      </c>
      <c r="E4" s="4" t="s">
        <v>38</v>
      </c>
      <c r="F4" s="4" t="s">
        <v>33</v>
      </c>
      <c r="G4" s="5">
        <v>44929</v>
      </c>
      <c r="H4" s="4">
        <v>179</v>
      </c>
      <c r="I4" s="4">
        <v>473.94</v>
      </c>
      <c r="J4" s="6">
        <v>97.14</v>
      </c>
      <c r="K4">
        <f t="shared" si="0"/>
        <v>78</v>
      </c>
      <c r="L4">
        <f t="shared" si="1"/>
        <v>67</v>
      </c>
      <c r="M4" t="str">
        <f>IF(B4="",$Z$18,B4)</f>
        <v>North</v>
      </c>
      <c r="N4" t="str">
        <f>IF(D4="",$Z$19,D4)</f>
        <v>Clothing</v>
      </c>
      <c r="O4">
        <f>IF(H4="",$Y$24,H4)</f>
        <v>179</v>
      </c>
      <c r="P4">
        <f>IF(I4="",$Z$24,I4)</f>
        <v>473.94</v>
      </c>
      <c r="Q4">
        <f t="shared" si="2"/>
        <v>84835.26</v>
      </c>
      <c r="R4">
        <f t="shared" si="3"/>
        <v>67447.199999999997</v>
      </c>
    </row>
    <row r="5" spans="1:26">
      <c r="A5" s="3" t="s">
        <v>39</v>
      </c>
      <c r="B5" s="4" t="s">
        <v>2</v>
      </c>
      <c r="C5" s="4" t="s">
        <v>40</v>
      </c>
      <c r="D5" s="4" t="s">
        <v>13</v>
      </c>
      <c r="E5" s="4" t="s">
        <v>38</v>
      </c>
      <c r="F5" s="4" t="s">
        <v>41</v>
      </c>
      <c r="G5" s="5">
        <v>44930</v>
      </c>
      <c r="H5" s="4">
        <v>18</v>
      </c>
      <c r="I5" s="4">
        <v>314.52999999999997</v>
      </c>
      <c r="J5" s="6">
        <v>204.87</v>
      </c>
      <c r="K5">
        <f t="shared" si="0"/>
        <v>91</v>
      </c>
      <c r="L5">
        <f t="shared" si="1"/>
        <v>69</v>
      </c>
      <c r="M5" t="str">
        <f>IF(B5="",$Z$18,B5)</f>
        <v>East</v>
      </c>
      <c r="N5" t="str">
        <f>IF(D5="",$Z$19,D5)</f>
        <v>Furniture</v>
      </c>
      <c r="O5">
        <f>IF(H5="",$Y$24,H5)</f>
        <v>18</v>
      </c>
      <c r="P5">
        <f>IF(I5="",$Z$24,I5)</f>
        <v>314.52999999999997</v>
      </c>
      <c r="Q5">
        <f t="shared" si="2"/>
        <v>5661.5399999999991</v>
      </c>
      <c r="R5">
        <f t="shared" si="3"/>
        <v>1973.8799999999992</v>
      </c>
    </row>
    <row r="6" spans="1:26">
      <c r="A6" s="3" t="s">
        <v>42</v>
      </c>
      <c r="B6" s="4" t="s">
        <v>2</v>
      </c>
      <c r="C6" s="4" t="s">
        <v>35</v>
      </c>
      <c r="D6" s="4" t="s">
        <v>13</v>
      </c>
      <c r="E6" s="4" t="s">
        <v>38</v>
      </c>
      <c r="F6" s="4" t="s">
        <v>41</v>
      </c>
      <c r="G6" s="5">
        <v>44931</v>
      </c>
      <c r="H6" s="4">
        <v>472</v>
      </c>
      <c r="I6" s="4">
        <v>392.79</v>
      </c>
      <c r="J6" s="6">
        <v>330.46</v>
      </c>
      <c r="K6">
        <f t="shared" si="0"/>
        <v>91</v>
      </c>
      <c r="L6">
        <f t="shared" si="1"/>
        <v>69</v>
      </c>
      <c r="M6" t="str">
        <f>IF(B6="",$Z$18,B6)</f>
        <v>East</v>
      </c>
      <c r="N6" t="str">
        <f>IF(D6="",$Z$19,D6)</f>
        <v>Furniture</v>
      </c>
      <c r="O6">
        <f>IF(H6="",$Y$24,H6)</f>
        <v>472</v>
      </c>
      <c r="P6">
        <f>IF(I6="",$Z$24,I6)</f>
        <v>392.79</v>
      </c>
      <c r="Q6">
        <f t="shared" si="2"/>
        <v>185396.88</v>
      </c>
      <c r="R6">
        <f t="shared" si="3"/>
        <v>29419.760000000009</v>
      </c>
      <c r="Y6" t="s">
        <v>43</v>
      </c>
      <c r="Z6" t="s">
        <v>44</v>
      </c>
    </row>
    <row r="7" spans="1:26">
      <c r="A7" s="3" t="s">
        <v>45</v>
      </c>
      <c r="B7" s="4" t="s">
        <v>5</v>
      </c>
      <c r="C7" s="4" t="s">
        <v>46</v>
      </c>
      <c r="D7" s="4" t="s">
        <v>10</v>
      </c>
      <c r="E7" s="4" t="s">
        <v>32</v>
      </c>
      <c r="F7" s="4" t="s">
        <v>33</v>
      </c>
      <c r="G7" s="5">
        <v>44932</v>
      </c>
      <c r="H7" s="4">
        <v>49</v>
      </c>
      <c r="I7" s="4">
        <v>308.07</v>
      </c>
      <c r="J7" s="6">
        <v>113.32</v>
      </c>
      <c r="K7">
        <f t="shared" si="0"/>
        <v>106</v>
      </c>
      <c r="L7">
        <f t="shared" si="1"/>
        <v>67</v>
      </c>
      <c r="M7" t="str">
        <f>IF(B7="",$Z$18,B7)</f>
        <v>West</v>
      </c>
      <c r="N7" t="str">
        <f>IF(D7="",$Z$19,D7)</f>
        <v>Clothing</v>
      </c>
      <c r="O7">
        <f>IF(H7="",$Y$24,H7)</f>
        <v>49</v>
      </c>
      <c r="P7">
        <f>IF(I7="",$Z$24,I7)</f>
        <v>308.07</v>
      </c>
      <c r="Q7">
        <f t="shared" si="2"/>
        <v>15095.43</v>
      </c>
      <c r="R7">
        <f t="shared" si="3"/>
        <v>9542.75</v>
      </c>
      <c r="Y7" t="s">
        <v>14</v>
      </c>
      <c r="Z7">
        <f>COUNTBLANK(A2:A351)</f>
        <v>0</v>
      </c>
    </row>
    <row r="8" spans="1:26">
      <c r="A8" s="3" t="s">
        <v>47</v>
      </c>
      <c r="B8" s="4" t="s">
        <v>3</v>
      </c>
      <c r="C8" s="4" t="s">
        <v>31</v>
      </c>
      <c r="D8" s="4" t="s">
        <v>10</v>
      </c>
      <c r="E8" s="4" t="s">
        <v>32</v>
      </c>
      <c r="F8" s="4" t="s">
        <v>36</v>
      </c>
      <c r="G8" s="5">
        <v>44933</v>
      </c>
      <c r="H8" s="4">
        <v>34</v>
      </c>
      <c r="I8" s="4">
        <v>244.78</v>
      </c>
      <c r="J8" s="6">
        <v>377.07</v>
      </c>
      <c r="K8">
        <f t="shared" si="0"/>
        <v>78</v>
      </c>
      <c r="L8">
        <f t="shared" si="1"/>
        <v>67</v>
      </c>
      <c r="M8" t="str">
        <f>IF(B8="",$Z$18,B8)</f>
        <v>North</v>
      </c>
      <c r="N8" t="str">
        <f>IF(D8="",$Z$19,D8)</f>
        <v>Clothing</v>
      </c>
      <c r="O8">
        <f>IF(H8="",$Y$24,H8)</f>
        <v>34</v>
      </c>
      <c r="P8">
        <f>IF(I8="",$Z$24,I8)</f>
        <v>244.78</v>
      </c>
      <c r="Q8">
        <f t="shared" si="2"/>
        <v>8322.52</v>
      </c>
      <c r="R8">
        <f t="shared" si="3"/>
        <v>-4497.8599999999988</v>
      </c>
      <c r="Y8" t="s">
        <v>0</v>
      </c>
      <c r="Z8">
        <f>COUNTBLANK(B2:B351)</f>
        <v>0</v>
      </c>
    </row>
    <row r="9" spans="1:26">
      <c r="A9" s="3" t="s">
        <v>48</v>
      </c>
      <c r="B9" s="4" t="s">
        <v>3</v>
      </c>
      <c r="C9" s="4" t="s">
        <v>35</v>
      </c>
      <c r="D9" s="4" t="s">
        <v>9</v>
      </c>
      <c r="E9" s="4" t="s">
        <v>32</v>
      </c>
      <c r="F9" s="4" t="s">
        <v>33</v>
      </c>
      <c r="G9" s="5">
        <v>44934</v>
      </c>
      <c r="H9" s="4">
        <v>270</v>
      </c>
      <c r="I9" s="4">
        <v>332.11</v>
      </c>
      <c r="J9" s="6">
        <v>349.59</v>
      </c>
      <c r="K9">
        <f t="shared" si="0"/>
        <v>78</v>
      </c>
      <c r="L9">
        <f t="shared" si="1"/>
        <v>83</v>
      </c>
      <c r="M9" t="str">
        <f>IF(B9="",$Z$18,B9)</f>
        <v>North</v>
      </c>
      <c r="N9" t="str">
        <f>IF(D9="",$Z$19,D9)</f>
        <v>Beverages</v>
      </c>
      <c r="O9">
        <f>IF(H9="",$Y$24,H9)</f>
        <v>270</v>
      </c>
      <c r="P9">
        <f>IF(I9="",$Z$24,I9)</f>
        <v>332.11</v>
      </c>
      <c r="Q9">
        <f t="shared" si="2"/>
        <v>89669.7</v>
      </c>
      <c r="R9">
        <f t="shared" si="3"/>
        <v>-4719.5999999999913</v>
      </c>
      <c r="Y9" t="s">
        <v>15</v>
      </c>
      <c r="Z9">
        <f>COUNTBLANK(C2:C351)</f>
        <v>0</v>
      </c>
    </row>
    <row r="10" spans="1:26">
      <c r="A10" s="3" t="s">
        <v>49</v>
      </c>
      <c r="B10" s="4" t="s">
        <v>2</v>
      </c>
      <c r="C10" s="4" t="s">
        <v>35</v>
      </c>
      <c r="D10" s="4" t="s">
        <v>9</v>
      </c>
      <c r="E10" s="4" t="s">
        <v>32</v>
      </c>
      <c r="F10" s="4" t="s">
        <v>36</v>
      </c>
      <c r="G10" s="5">
        <v>44935</v>
      </c>
      <c r="H10" s="4">
        <v>404</v>
      </c>
      <c r="I10" s="4">
        <v>278.74</v>
      </c>
      <c r="J10" s="6">
        <v>66.38</v>
      </c>
      <c r="K10">
        <f t="shared" si="0"/>
        <v>91</v>
      </c>
      <c r="L10">
        <f t="shared" si="1"/>
        <v>83</v>
      </c>
      <c r="M10" t="str">
        <f>IF(B10="",$Z$18,B10)</f>
        <v>East</v>
      </c>
      <c r="N10" t="str">
        <f>IF(D10="",$Z$19,D10)</f>
        <v>Beverages</v>
      </c>
      <c r="O10">
        <f>IF(H10="",$Y$24,H10)</f>
        <v>404</v>
      </c>
      <c r="P10">
        <f>IF(I10="",$Z$24,I10)</f>
        <v>278.74</v>
      </c>
      <c r="Q10">
        <f t="shared" si="2"/>
        <v>112610.96</v>
      </c>
      <c r="R10">
        <f t="shared" si="3"/>
        <v>85793.44</v>
      </c>
      <c r="Y10" t="s">
        <v>8</v>
      </c>
      <c r="Z10">
        <f>COUNTBLANK(D2:D351)</f>
        <v>0</v>
      </c>
    </row>
    <row r="11" spans="1:26">
      <c r="A11" s="3" t="s">
        <v>50</v>
      </c>
      <c r="B11" s="4" t="s">
        <v>5</v>
      </c>
      <c r="C11" s="4" t="s">
        <v>40</v>
      </c>
      <c r="D11" s="4" t="s">
        <v>13</v>
      </c>
      <c r="E11" s="4" t="s">
        <v>32</v>
      </c>
      <c r="F11" s="4" t="s">
        <v>41</v>
      </c>
      <c r="G11" s="5">
        <v>44936</v>
      </c>
      <c r="H11" s="4">
        <v>452</v>
      </c>
      <c r="I11" s="4">
        <v>300.75</v>
      </c>
      <c r="J11" s="6">
        <v>314.94</v>
      </c>
      <c r="K11">
        <f t="shared" si="0"/>
        <v>106</v>
      </c>
      <c r="L11">
        <f t="shared" si="1"/>
        <v>69</v>
      </c>
      <c r="M11" t="str">
        <f>IF(B11="",$Z$18,B11)</f>
        <v>West</v>
      </c>
      <c r="N11" t="str">
        <f>IF(D11="",$Z$19,D11)</f>
        <v>Furniture</v>
      </c>
      <c r="O11">
        <f>IF(H11="",$Y$24,H11)</f>
        <v>452</v>
      </c>
      <c r="P11">
        <f>IF(I11="",$Z$24,I11)</f>
        <v>300.75</v>
      </c>
      <c r="Q11">
        <f t="shared" si="2"/>
        <v>135939</v>
      </c>
      <c r="R11">
        <f t="shared" si="3"/>
        <v>-6413.8800000000047</v>
      </c>
      <c r="Y11" t="s">
        <v>16</v>
      </c>
      <c r="Z11">
        <f>COUNTBLANK(E2:E351)</f>
        <v>0</v>
      </c>
    </row>
    <row r="12" spans="1:26">
      <c r="A12" s="3" t="s">
        <v>51</v>
      </c>
      <c r="B12" s="4" t="s">
        <v>2</v>
      </c>
      <c r="C12" s="4" t="s">
        <v>40</v>
      </c>
      <c r="D12" s="4" t="s">
        <v>12</v>
      </c>
      <c r="E12" s="4" t="s">
        <v>32</v>
      </c>
      <c r="F12" s="4" t="s">
        <v>36</v>
      </c>
      <c r="G12" s="5">
        <v>44937</v>
      </c>
      <c r="H12" s="4">
        <v>235</v>
      </c>
      <c r="I12" s="4">
        <v>393</v>
      </c>
      <c r="J12" s="6">
        <v>230.69</v>
      </c>
      <c r="K12">
        <f t="shared" si="0"/>
        <v>91</v>
      </c>
      <c r="L12">
        <f t="shared" si="1"/>
        <v>61</v>
      </c>
      <c r="M12" t="str">
        <f>IF(B12="",$Z$18,B12)</f>
        <v>East</v>
      </c>
      <c r="N12" t="str">
        <f>IF(D12="",$Z$19,D12)</f>
        <v>Food</v>
      </c>
      <c r="O12">
        <f>IF(H12="",$Y$24,H12)</f>
        <v>235</v>
      </c>
      <c r="P12">
        <f>IF(I12="",$Z$24,I12)</f>
        <v>393</v>
      </c>
      <c r="Q12">
        <f t="shared" si="2"/>
        <v>92355</v>
      </c>
      <c r="R12">
        <f t="shared" si="3"/>
        <v>38142.85</v>
      </c>
      <c r="Y12" t="s">
        <v>17</v>
      </c>
      <c r="Z12">
        <f>COUNTBLANK(F2:F351)</f>
        <v>0</v>
      </c>
    </row>
    <row r="13" spans="1:26">
      <c r="A13" s="3" t="s">
        <v>52</v>
      </c>
      <c r="B13" s="4" t="s">
        <v>2</v>
      </c>
      <c r="C13" s="4" t="s">
        <v>46</v>
      </c>
      <c r="D13" s="4" t="s">
        <v>13</v>
      </c>
      <c r="E13" s="4" t="s">
        <v>38</v>
      </c>
      <c r="F13" s="4" t="s">
        <v>41</v>
      </c>
      <c r="G13" s="5">
        <v>44938</v>
      </c>
      <c r="H13" s="4">
        <v>481</v>
      </c>
      <c r="I13" s="4">
        <v>243.05</v>
      </c>
      <c r="J13" s="6">
        <v>227.5</v>
      </c>
      <c r="K13">
        <f t="shared" si="0"/>
        <v>91</v>
      </c>
      <c r="L13">
        <f t="shared" si="1"/>
        <v>69</v>
      </c>
      <c r="M13" t="str">
        <f>IF(B13="",$Z$18,B13)</f>
        <v>East</v>
      </c>
      <c r="N13" t="str">
        <f>IF(D13="",$Z$19,D13)</f>
        <v>Furniture</v>
      </c>
      <c r="O13">
        <f>IF(H13="",$Y$24,H13)</f>
        <v>481</v>
      </c>
      <c r="P13">
        <f>IF(I13="",$Z$24,I13)</f>
        <v>243.05</v>
      </c>
      <c r="Q13">
        <f t="shared" si="2"/>
        <v>116907.05</v>
      </c>
      <c r="R13">
        <f t="shared" si="3"/>
        <v>7479.5500000000029</v>
      </c>
      <c r="Y13" t="s">
        <v>18</v>
      </c>
      <c r="Z13">
        <f>COUNTBLANK(G2:G351)</f>
        <v>0</v>
      </c>
    </row>
    <row r="14" spans="1:26">
      <c r="A14" s="3" t="s">
        <v>53</v>
      </c>
      <c r="B14" s="4" t="s">
        <v>2</v>
      </c>
      <c r="C14" s="4" t="s">
        <v>31</v>
      </c>
      <c r="D14" s="4" t="s">
        <v>12</v>
      </c>
      <c r="E14" s="4" t="s">
        <v>38</v>
      </c>
      <c r="F14" s="4" t="s">
        <v>36</v>
      </c>
      <c r="G14" s="5">
        <v>44939</v>
      </c>
      <c r="H14" s="4">
        <v>133</v>
      </c>
      <c r="I14" s="4">
        <v>25.17</v>
      </c>
      <c r="J14" s="6">
        <v>157.63999999999999</v>
      </c>
      <c r="K14">
        <f t="shared" si="0"/>
        <v>91</v>
      </c>
      <c r="L14">
        <f t="shared" si="1"/>
        <v>61</v>
      </c>
      <c r="M14" t="str">
        <f>IF(B14="",$Z$18,B14)</f>
        <v>East</v>
      </c>
      <c r="N14" t="str">
        <f>IF(D14="",$Z$19,D14)</f>
        <v>Food</v>
      </c>
      <c r="O14">
        <f>IF(H14="",$Y$24,H14)</f>
        <v>133</v>
      </c>
      <c r="P14">
        <f>IF(I14="",$Z$24,I14)</f>
        <v>25.17</v>
      </c>
      <c r="Q14">
        <f t="shared" si="2"/>
        <v>3347.61</v>
      </c>
      <c r="R14">
        <f t="shared" si="3"/>
        <v>-17618.509999999998</v>
      </c>
      <c r="Y14" t="s">
        <v>19</v>
      </c>
      <c r="Z14">
        <f>COUNTBLANK(H2:H351)</f>
        <v>0</v>
      </c>
    </row>
    <row r="15" spans="1:26">
      <c r="A15" s="3" t="s">
        <v>54</v>
      </c>
      <c r="B15" s="4" t="s">
        <v>2</v>
      </c>
      <c r="C15" s="4" t="s">
        <v>40</v>
      </c>
      <c r="D15" s="4" t="s">
        <v>12</v>
      </c>
      <c r="E15" s="4" t="s">
        <v>38</v>
      </c>
      <c r="F15" s="4" t="s">
        <v>36</v>
      </c>
      <c r="G15" s="5">
        <v>44940</v>
      </c>
      <c r="H15" s="4">
        <v>472</v>
      </c>
      <c r="I15" s="4">
        <v>86.18</v>
      </c>
      <c r="J15" s="6">
        <v>201.46</v>
      </c>
      <c r="K15">
        <f t="shared" si="0"/>
        <v>91</v>
      </c>
      <c r="L15">
        <f t="shared" si="1"/>
        <v>61</v>
      </c>
      <c r="M15" t="str">
        <f>IF(B15="",$Z$18,B15)</f>
        <v>East</v>
      </c>
      <c r="N15" t="str">
        <f>IF(D15="",$Z$19,D15)</f>
        <v>Food</v>
      </c>
      <c r="O15">
        <f>IF(H15="",$Y$24,H15)</f>
        <v>472</v>
      </c>
      <c r="P15">
        <f>IF(I15="",$Z$24,I15)</f>
        <v>86.18</v>
      </c>
      <c r="Q15">
        <f t="shared" si="2"/>
        <v>40676.960000000006</v>
      </c>
      <c r="R15">
        <f t="shared" si="3"/>
        <v>-54412.160000000003</v>
      </c>
      <c r="Y15" t="s">
        <v>20</v>
      </c>
      <c r="Z15">
        <f>COUNTBLANK(I2:I351)</f>
        <v>0</v>
      </c>
    </row>
    <row r="16" spans="1:26">
      <c r="A16" s="3" t="s">
        <v>55</v>
      </c>
      <c r="B16" s="4" t="s">
        <v>5</v>
      </c>
      <c r="C16" s="4" t="s">
        <v>35</v>
      </c>
      <c r="D16" s="4" t="s">
        <v>9</v>
      </c>
      <c r="E16" s="4" t="s">
        <v>38</v>
      </c>
      <c r="F16" s="4" t="s">
        <v>36</v>
      </c>
      <c r="G16" s="5">
        <v>44941</v>
      </c>
      <c r="H16" s="4">
        <v>47</v>
      </c>
      <c r="I16" s="4">
        <v>222.11</v>
      </c>
      <c r="J16" s="6">
        <v>160.08000000000001</v>
      </c>
      <c r="K16">
        <f t="shared" si="0"/>
        <v>106</v>
      </c>
      <c r="L16">
        <f t="shared" si="1"/>
        <v>83</v>
      </c>
      <c r="M16" t="str">
        <f>IF(B16="",$Z$18,B16)</f>
        <v>West</v>
      </c>
      <c r="N16" t="str">
        <f>IF(D16="",$Z$19,D16)</f>
        <v>Beverages</v>
      </c>
      <c r="O16">
        <f>IF(H16="",$Y$24,H16)</f>
        <v>47</v>
      </c>
      <c r="P16">
        <f>IF(I16="",$Z$24,I16)</f>
        <v>222.11</v>
      </c>
      <c r="Q16">
        <f t="shared" si="2"/>
        <v>10439.17</v>
      </c>
      <c r="R16">
        <f t="shared" si="3"/>
        <v>2915.41</v>
      </c>
      <c r="Y16" t="s">
        <v>21</v>
      </c>
      <c r="Z16">
        <f>COUNTBLANK(J2:J351)</f>
        <v>0</v>
      </c>
    </row>
    <row r="17" spans="1:26">
      <c r="A17" s="3" t="s">
        <v>56</v>
      </c>
      <c r="B17" s="4" t="s">
        <v>3</v>
      </c>
      <c r="C17" s="4" t="s">
        <v>31</v>
      </c>
      <c r="D17" s="4" t="s">
        <v>11</v>
      </c>
      <c r="E17" s="4" t="s">
        <v>32</v>
      </c>
      <c r="F17" s="4" t="s">
        <v>33</v>
      </c>
      <c r="G17" s="5">
        <v>44942</v>
      </c>
      <c r="H17" s="4">
        <v>337</v>
      </c>
      <c r="I17" s="4">
        <v>363.79</v>
      </c>
      <c r="J17" s="6">
        <v>216.81</v>
      </c>
      <c r="K17">
        <f t="shared" si="0"/>
        <v>78</v>
      </c>
      <c r="L17">
        <f t="shared" si="1"/>
        <v>70</v>
      </c>
      <c r="M17" t="str">
        <f>IF(B17="",$Z$18,B17)</f>
        <v>North</v>
      </c>
      <c r="N17" t="str">
        <f>IF(D17="",$Z$19,D17)</f>
        <v>Electronics</v>
      </c>
      <c r="O17">
        <f>IF(H17="",$Y$24,H17)</f>
        <v>337</v>
      </c>
      <c r="P17">
        <f>IF(I17="",$Z$24,I17)</f>
        <v>363.79</v>
      </c>
      <c r="Q17">
        <f t="shared" si="2"/>
        <v>122597.23000000001</v>
      </c>
      <c r="R17">
        <f t="shared" si="3"/>
        <v>49532.260000000009</v>
      </c>
    </row>
    <row r="18" spans="1:26">
      <c r="A18" s="3" t="s">
        <v>57</v>
      </c>
      <c r="B18" s="4" t="s">
        <v>5</v>
      </c>
      <c r="C18" s="4" t="s">
        <v>31</v>
      </c>
      <c r="D18" s="4" t="s">
        <v>11</v>
      </c>
      <c r="E18" s="4" t="s">
        <v>32</v>
      </c>
      <c r="F18" s="4" t="s">
        <v>33</v>
      </c>
      <c r="G18" s="5">
        <v>44943</v>
      </c>
      <c r="H18" s="4">
        <v>260</v>
      </c>
      <c r="I18" s="4">
        <v>298.67</v>
      </c>
      <c r="J18" s="6">
        <v>251.92</v>
      </c>
      <c r="K18">
        <f t="shared" si="0"/>
        <v>106</v>
      </c>
      <c r="L18">
        <f t="shared" si="1"/>
        <v>70</v>
      </c>
      <c r="M18" t="str">
        <f>IF(B18="",$Z$18,B18)</f>
        <v>West</v>
      </c>
      <c r="N18" t="str">
        <f>IF(D18="",$Z$19,D18)</f>
        <v>Electronics</v>
      </c>
      <c r="O18">
        <f>IF(H18="",$Y$24,H18)</f>
        <v>260</v>
      </c>
      <c r="P18">
        <f>IF(I18="",$Z$24,I18)</f>
        <v>298.67</v>
      </c>
      <c r="Q18">
        <f t="shared" si="2"/>
        <v>77654.2</v>
      </c>
      <c r="R18">
        <f t="shared" si="3"/>
        <v>12155</v>
      </c>
      <c r="Y18" t="s">
        <v>58</v>
      </c>
      <c r="Z18" t="str">
        <f>INDEX($B$2:$B$351,MATCH(MAX($K$2:$K$351),$K$2:$K$351,0))</f>
        <v>West</v>
      </c>
    </row>
    <row r="19" spans="1:26">
      <c r="A19" s="3" t="s">
        <v>59</v>
      </c>
      <c r="B19" s="4" t="s">
        <v>5</v>
      </c>
      <c r="C19" s="4" t="s">
        <v>35</v>
      </c>
      <c r="D19" s="4" t="s">
        <v>10</v>
      </c>
      <c r="E19" s="4" t="s">
        <v>38</v>
      </c>
      <c r="F19" s="4" t="s">
        <v>41</v>
      </c>
      <c r="G19" s="5">
        <v>44944</v>
      </c>
      <c r="H19" s="4">
        <v>398</v>
      </c>
      <c r="I19" s="4">
        <v>326.89999999999998</v>
      </c>
      <c r="J19" s="6">
        <v>270.37</v>
      </c>
      <c r="K19">
        <f t="shared" si="0"/>
        <v>106</v>
      </c>
      <c r="L19">
        <f t="shared" si="1"/>
        <v>67</v>
      </c>
      <c r="M19" t="str">
        <f>IF(B19="",$Z$18,B19)</f>
        <v>West</v>
      </c>
      <c r="N19" t="str">
        <f>IF(D19="",$Z$19,D19)</f>
        <v>Clothing</v>
      </c>
      <c r="O19">
        <f>IF(H19="",$Y$24,H19)</f>
        <v>398</v>
      </c>
      <c r="P19">
        <f>IF(I19="",$Z$24,I19)</f>
        <v>326.89999999999998</v>
      </c>
      <c r="Q19">
        <f t="shared" si="2"/>
        <v>130106.2</v>
      </c>
      <c r="R19">
        <f t="shared" si="3"/>
        <v>22498.940000000002</v>
      </c>
      <c r="Y19" t="s">
        <v>60</v>
      </c>
      <c r="Z19" t="str">
        <f>INDEX($D$2:$D$351,MATCH(MAX($L$2:$L$351),$L$2:$L$351,0))</f>
        <v>Beverages</v>
      </c>
    </row>
    <row r="20" spans="1:26">
      <c r="A20" s="3" t="s">
        <v>61</v>
      </c>
      <c r="B20" s="4" t="s">
        <v>5</v>
      </c>
      <c r="C20" s="4" t="s">
        <v>40</v>
      </c>
      <c r="D20" s="4" t="s">
        <v>9</v>
      </c>
      <c r="E20" s="4" t="s">
        <v>32</v>
      </c>
      <c r="F20" s="4" t="s">
        <v>41</v>
      </c>
      <c r="G20" s="5">
        <v>44945</v>
      </c>
      <c r="H20" s="4">
        <v>185</v>
      </c>
      <c r="I20" s="4">
        <v>242.24</v>
      </c>
      <c r="J20" s="6">
        <v>213.93</v>
      </c>
      <c r="K20">
        <f t="shared" si="0"/>
        <v>106</v>
      </c>
      <c r="L20">
        <f t="shared" si="1"/>
        <v>83</v>
      </c>
      <c r="M20" t="str">
        <f>IF(B20="",$Z$18,B20)</f>
        <v>West</v>
      </c>
      <c r="N20" t="str">
        <f>IF(D20="",$Z$19,D20)</f>
        <v>Beverages</v>
      </c>
      <c r="O20">
        <f>IF(H20="",$Y$24,H20)</f>
        <v>185</v>
      </c>
      <c r="P20">
        <f>IF(I20="",$Z$24,I20)</f>
        <v>242.24</v>
      </c>
      <c r="Q20">
        <f t="shared" si="2"/>
        <v>44814.400000000001</v>
      </c>
      <c r="R20">
        <f t="shared" si="3"/>
        <v>5237.3499999999985</v>
      </c>
    </row>
    <row r="21" spans="1:26">
      <c r="A21" s="3" t="s">
        <v>62</v>
      </c>
      <c r="B21" s="4" t="s">
        <v>2</v>
      </c>
      <c r="C21" s="4" t="s">
        <v>35</v>
      </c>
      <c r="D21" s="4" t="s">
        <v>12</v>
      </c>
      <c r="E21" s="4" t="s">
        <v>38</v>
      </c>
      <c r="F21" s="4" t="s">
        <v>33</v>
      </c>
      <c r="G21" s="5">
        <v>44946</v>
      </c>
      <c r="H21" s="4">
        <v>99</v>
      </c>
      <c r="I21" s="4">
        <v>309.79000000000002</v>
      </c>
      <c r="J21" s="6">
        <v>289.13</v>
      </c>
      <c r="K21">
        <f t="shared" si="0"/>
        <v>91</v>
      </c>
      <c r="L21">
        <f t="shared" si="1"/>
        <v>61</v>
      </c>
      <c r="M21" t="str">
        <f>IF(B21="",$Z$18,B21)</f>
        <v>East</v>
      </c>
      <c r="N21" t="str">
        <f>IF(D21="",$Z$19,D21)</f>
        <v>Food</v>
      </c>
      <c r="O21">
        <f>IF(H21="",$Y$24,H21)</f>
        <v>99</v>
      </c>
      <c r="P21">
        <f>IF(I21="",$Z$24,I21)</f>
        <v>309.79000000000002</v>
      </c>
      <c r="Q21">
        <f t="shared" si="2"/>
        <v>30669.210000000003</v>
      </c>
      <c r="R21">
        <f t="shared" si="3"/>
        <v>2045.3400000000038</v>
      </c>
    </row>
    <row r="22" spans="1:26">
      <c r="A22" s="3" t="s">
        <v>63</v>
      </c>
      <c r="B22" s="4" t="s">
        <v>4</v>
      </c>
      <c r="C22" s="4" t="s">
        <v>31</v>
      </c>
      <c r="D22" s="4" t="s">
        <v>11</v>
      </c>
      <c r="E22" s="4" t="s">
        <v>38</v>
      </c>
      <c r="F22" s="4" t="s">
        <v>41</v>
      </c>
      <c r="G22" s="5">
        <v>44947</v>
      </c>
      <c r="H22" s="4">
        <v>411</v>
      </c>
      <c r="I22" s="4">
        <v>167.86</v>
      </c>
      <c r="J22" s="6">
        <v>58.23</v>
      </c>
      <c r="K22">
        <f t="shared" si="0"/>
        <v>75</v>
      </c>
      <c r="L22">
        <f t="shared" si="1"/>
        <v>70</v>
      </c>
      <c r="M22" t="str">
        <f>IF(B22="",$Z$18,B22)</f>
        <v>South</v>
      </c>
      <c r="N22" t="str">
        <f>IF(D22="",$Z$19,D22)</f>
        <v>Electronics</v>
      </c>
      <c r="O22">
        <f>IF(H22="",$Y$24,H22)</f>
        <v>411</v>
      </c>
      <c r="P22">
        <f>IF(I22="",$Z$24,I22)</f>
        <v>167.86</v>
      </c>
      <c r="Q22">
        <f t="shared" si="2"/>
        <v>68990.460000000006</v>
      </c>
      <c r="R22">
        <f t="shared" si="3"/>
        <v>45057.930000000008</v>
      </c>
    </row>
    <row r="23" spans="1:26">
      <c r="A23" s="3" t="s">
        <v>64</v>
      </c>
      <c r="B23" s="4" t="s">
        <v>3</v>
      </c>
      <c r="C23" s="4" t="s">
        <v>65</v>
      </c>
      <c r="D23" s="4" t="s">
        <v>12</v>
      </c>
      <c r="E23" s="4" t="s">
        <v>38</v>
      </c>
      <c r="F23" s="4" t="s">
        <v>33</v>
      </c>
      <c r="G23" s="5">
        <v>44948</v>
      </c>
      <c r="H23" s="4">
        <v>463</v>
      </c>
      <c r="I23" s="4">
        <v>237.74</v>
      </c>
      <c r="J23" s="6">
        <v>86.37</v>
      </c>
      <c r="K23">
        <f t="shared" si="0"/>
        <v>78</v>
      </c>
      <c r="L23">
        <f t="shared" si="1"/>
        <v>61</v>
      </c>
      <c r="M23" t="str">
        <f>IF(B23="",$Z$18,B23)</f>
        <v>North</v>
      </c>
      <c r="N23" t="str">
        <f>IF(D23="",$Z$19,D23)</f>
        <v>Food</v>
      </c>
      <c r="O23">
        <f>IF(H23="",$Y$24,H23)</f>
        <v>463</v>
      </c>
      <c r="P23">
        <f>IF(I23="",$Z$24,I23)</f>
        <v>237.74</v>
      </c>
      <c r="Q23">
        <f t="shared" si="2"/>
        <v>110073.62000000001</v>
      </c>
      <c r="R23">
        <f t="shared" si="3"/>
        <v>70084.31</v>
      </c>
      <c r="Y23" t="s">
        <v>66</v>
      </c>
      <c r="Z23" t="s">
        <v>67</v>
      </c>
    </row>
    <row r="24" spans="1:26">
      <c r="A24" s="3" t="s">
        <v>68</v>
      </c>
      <c r="B24" s="4" t="s">
        <v>4</v>
      </c>
      <c r="C24" s="4" t="s">
        <v>65</v>
      </c>
      <c r="D24" s="4" t="s">
        <v>11</v>
      </c>
      <c r="E24" s="4" t="s">
        <v>32</v>
      </c>
      <c r="F24" s="4" t="s">
        <v>36</v>
      </c>
      <c r="G24" s="5">
        <v>44949</v>
      </c>
      <c r="H24" s="4">
        <v>46</v>
      </c>
      <c r="I24" s="4">
        <v>373.42</v>
      </c>
      <c r="J24" s="6">
        <v>327.86</v>
      </c>
      <c r="K24">
        <f t="shared" si="0"/>
        <v>75</v>
      </c>
      <c r="L24">
        <f t="shared" si="1"/>
        <v>70</v>
      </c>
      <c r="M24" t="str">
        <f>IF(B24="",$Z$18,B24)</f>
        <v>South</v>
      </c>
      <c r="N24" t="str">
        <f>IF(D24="",$Z$19,D24)</f>
        <v>Electronics</v>
      </c>
      <c r="O24">
        <f>IF(H24="",$Y$24,H24)</f>
        <v>46</v>
      </c>
      <c r="P24">
        <f>IF(I24="",$Z$24,I24)</f>
        <v>373.42</v>
      </c>
      <c r="Q24">
        <f t="shared" si="2"/>
        <v>17177.32</v>
      </c>
      <c r="R24">
        <f t="shared" si="3"/>
        <v>2095.7599999999984</v>
      </c>
      <c r="Y24">
        <f>AVERAGE(H2:H351)</f>
        <v>255.90294117647048</v>
      </c>
      <c r="Z24">
        <f>AVERAGE(I2:I351)</f>
        <v>249.64520588235297</v>
      </c>
    </row>
    <row r="25" spans="1:26">
      <c r="A25" s="3" t="s">
        <v>69</v>
      </c>
      <c r="B25" s="4" t="s">
        <v>5</v>
      </c>
      <c r="C25" s="4" t="s">
        <v>46</v>
      </c>
      <c r="D25" s="4" t="s">
        <v>11</v>
      </c>
      <c r="E25" s="4" t="s">
        <v>38</v>
      </c>
      <c r="F25" s="4" t="s">
        <v>41</v>
      </c>
      <c r="G25" s="5">
        <v>44950</v>
      </c>
      <c r="H25" s="4">
        <v>325</v>
      </c>
      <c r="I25" s="4">
        <v>436.56</v>
      </c>
      <c r="J25" s="6">
        <v>130.37</v>
      </c>
      <c r="K25">
        <f t="shared" si="0"/>
        <v>106</v>
      </c>
      <c r="L25">
        <f t="shared" si="1"/>
        <v>70</v>
      </c>
      <c r="M25" t="str">
        <f>IF(B25="",$Z$18,B25)</f>
        <v>West</v>
      </c>
      <c r="N25" t="str">
        <f>IF(D25="",$Z$19,D25)</f>
        <v>Electronics</v>
      </c>
      <c r="O25">
        <f>IF(H25="",$Y$24,H25)</f>
        <v>325</v>
      </c>
      <c r="P25">
        <f>IF(I25="",$Z$24,I25)</f>
        <v>436.56</v>
      </c>
      <c r="Q25">
        <f t="shared" si="2"/>
        <v>141882</v>
      </c>
      <c r="R25">
        <f t="shared" si="3"/>
        <v>99511.75</v>
      </c>
    </row>
    <row r="26" spans="1:26">
      <c r="A26" s="3" t="s">
        <v>70</v>
      </c>
      <c r="B26" s="4" t="s">
        <v>5</v>
      </c>
      <c r="C26" s="4" t="s">
        <v>35</v>
      </c>
      <c r="D26" s="4" t="s">
        <v>9</v>
      </c>
      <c r="E26" s="4" t="s">
        <v>38</v>
      </c>
      <c r="F26" s="4" t="s">
        <v>41</v>
      </c>
      <c r="G26" s="5">
        <v>44951</v>
      </c>
      <c r="H26" s="4">
        <v>185</v>
      </c>
      <c r="I26" s="4">
        <v>219.66</v>
      </c>
      <c r="J26" s="6">
        <v>11.11</v>
      </c>
      <c r="K26">
        <f t="shared" si="0"/>
        <v>106</v>
      </c>
      <c r="L26">
        <f t="shared" si="1"/>
        <v>83</v>
      </c>
      <c r="M26" t="str">
        <f>IF(B26="",$Z$18,B26)</f>
        <v>West</v>
      </c>
      <c r="N26" t="str">
        <f>IF(D26="",$Z$19,D26)</f>
        <v>Beverages</v>
      </c>
      <c r="O26">
        <f>IF(H26="",$Y$24,H26)</f>
        <v>185</v>
      </c>
      <c r="P26">
        <f>IF(I26="",$Z$24,I26)</f>
        <v>219.66</v>
      </c>
      <c r="Q26">
        <f t="shared" si="2"/>
        <v>40637.1</v>
      </c>
      <c r="R26">
        <f t="shared" si="3"/>
        <v>38581.75</v>
      </c>
    </row>
    <row r="27" spans="1:26">
      <c r="A27" s="3" t="s">
        <v>71</v>
      </c>
      <c r="B27" s="4" t="s">
        <v>4</v>
      </c>
      <c r="C27" s="4" t="s">
        <v>35</v>
      </c>
      <c r="D27" s="4" t="s">
        <v>9</v>
      </c>
      <c r="E27" s="4" t="s">
        <v>38</v>
      </c>
      <c r="F27" s="4" t="s">
        <v>33</v>
      </c>
      <c r="G27" s="5">
        <v>44952</v>
      </c>
      <c r="H27" s="4">
        <v>470</v>
      </c>
      <c r="I27" s="4">
        <v>26.61</v>
      </c>
      <c r="J27" s="6">
        <v>63.21</v>
      </c>
      <c r="K27">
        <f t="shared" si="0"/>
        <v>75</v>
      </c>
      <c r="L27">
        <f t="shared" si="1"/>
        <v>83</v>
      </c>
      <c r="M27" t="str">
        <f>IF(B27="",$Z$18,B27)</f>
        <v>South</v>
      </c>
      <c r="N27" t="str">
        <f>IF(D27="",$Z$19,D27)</f>
        <v>Beverages</v>
      </c>
      <c r="O27">
        <f>IF(H27="",$Y$24,H27)</f>
        <v>470</v>
      </c>
      <c r="P27">
        <f>IF(I27="",$Z$24,I27)</f>
        <v>26.61</v>
      </c>
      <c r="Q27">
        <f t="shared" si="2"/>
        <v>12506.699999999999</v>
      </c>
      <c r="R27">
        <f t="shared" si="3"/>
        <v>-17202</v>
      </c>
    </row>
    <row r="28" spans="1:26">
      <c r="A28" s="3" t="s">
        <v>72</v>
      </c>
      <c r="B28" s="4" t="s">
        <v>4</v>
      </c>
      <c r="C28" s="4" t="s">
        <v>46</v>
      </c>
      <c r="D28" s="4" t="s">
        <v>13</v>
      </c>
      <c r="E28" s="4" t="s">
        <v>32</v>
      </c>
      <c r="F28" s="4" t="s">
        <v>41</v>
      </c>
      <c r="G28" s="5">
        <v>44953</v>
      </c>
      <c r="H28" s="4">
        <v>293</v>
      </c>
      <c r="I28" s="4">
        <v>85.03</v>
      </c>
      <c r="J28" s="6">
        <v>91</v>
      </c>
      <c r="K28">
        <f t="shared" si="0"/>
        <v>75</v>
      </c>
      <c r="L28">
        <f t="shared" si="1"/>
        <v>69</v>
      </c>
      <c r="M28" t="str">
        <f>IF(B28="",$Z$18,B28)</f>
        <v>South</v>
      </c>
      <c r="N28" t="str">
        <f>IF(D28="",$Z$19,D28)</f>
        <v>Furniture</v>
      </c>
      <c r="O28">
        <f>IF(H28="",$Y$24,H28)</f>
        <v>293</v>
      </c>
      <c r="P28">
        <f>IF(I28="",$Z$24,I28)</f>
        <v>85.03</v>
      </c>
      <c r="Q28">
        <f t="shared" si="2"/>
        <v>24913.79</v>
      </c>
      <c r="R28">
        <f t="shared" si="3"/>
        <v>-1749.2099999999991</v>
      </c>
    </row>
    <row r="29" spans="1:26">
      <c r="A29" s="3" t="s">
        <v>73</v>
      </c>
      <c r="B29" s="4" t="s">
        <v>4</v>
      </c>
      <c r="C29" s="4" t="s">
        <v>46</v>
      </c>
      <c r="D29" s="4" t="s">
        <v>12</v>
      </c>
      <c r="E29" s="4" t="s">
        <v>32</v>
      </c>
      <c r="F29" s="4" t="s">
        <v>41</v>
      </c>
      <c r="G29" s="5">
        <v>44954</v>
      </c>
      <c r="H29" s="4">
        <v>462</v>
      </c>
      <c r="I29" s="4">
        <v>249.64520588235297</v>
      </c>
      <c r="J29" s="6">
        <v>383.01</v>
      </c>
      <c r="K29">
        <f t="shared" si="0"/>
        <v>75</v>
      </c>
      <c r="L29">
        <f t="shared" si="1"/>
        <v>61</v>
      </c>
      <c r="M29" t="str">
        <f>IF(B29="",$Z$18,B29)</f>
        <v>South</v>
      </c>
      <c r="N29" t="str">
        <f>IF(D29="",$Z$19,D29)</f>
        <v>Food</v>
      </c>
      <c r="O29">
        <f>IF(H29="",$Y$24,H29)</f>
        <v>462</v>
      </c>
      <c r="P29">
        <f>IF(I29="",$Z$24,I29)</f>
        <v>249.64520588235297</v>
      </c>
      <c r="Q29">
        <f t="shared" si="2"/>
        <v>115336.08511764708</v>
      </c>
      <c r="R29">
        <f t="shared" si="3"/>
        <v>-61614.53488235292</v>
      </c>
    </row>
    <row r="30" spans="1:26">
      <c r="A30" s="3" t="s">
        <v>74</v>
      </c>
      <c r="B30" s="4" t="s">
        <v>5</v>
      </c>
      <c r="C30" s="4" t="s">
        <v>46</v>
      </c>
      <c r="D30" s="4" t="s">
        <v>9</v>
      </c>
      <c r="E30" s="4" t="s">
        <v>38</v>
      </c>
      <c r="F30" s="4" t="s">
        <v>36</v>
      </c>
      <c r="G30" s="5">
        <v>44955</v>
      </c>
      <c r="H30" s="4">
        <v>470</v>
      </c>
      <c r="I30" s="4">
        <v>328.37</v>
      </c>
      <c r="J30" s="6">
        <v>230.07</v>
      </c>
      <c r="K30">
        <f t="shared" si="0"/>
        <v>106</v>
      </c>
      <c r="L30">
        <f t="shared" si="1"/>
        <v>83</v>
      </c>
      <c r="M30" t="str">
        <f>IF(B30="",$Z$18,B30)</f>
        <v>West</v>
      </c>
      <c r="N30" t="str">
        <f>IF(D30="",$Z$19,D30)</f>
        <v>Beverages</v>
      </c>
      <c r="O30">
        <f>IF(H30="",$Y$24,H30)</f>
        <v>470</v>
      </c>
      <c r="P30">
        <f>IF(I30="",$Z$24,I30)</f>
        <v>328.37</v>
      </c>
      <c r="Q30">
        <f t="shared" si="2"/>
        <v>154333.9</v>
      </c>
      <c r="R30">
        <f t="shared" si="3"/>
        <v>46201</v>
      </c>
      <c r="Y30" t="s">
        <v>75</v>
      </c>
      <c r="Z30">
        <f>INDEX($Q$2:$Q$351,MATCH("ORD0123",$A$2:$A$351,0))</f>
        <v>15849.300000000001</v>
      </c>
    </row>
    <row r="31" spans="1:26">
      <c r="A31" s="3" t="s">
        <v>76</v>
      </c>
      <c r="B31" s="4" t="s">
        <v>5</v>
      </c>
      <c r="C31" s="4" t="s">
        <v>31</v>
      </c>
      <c r="D31" s="4" t="s">
        <v>9</v>
      </c>
      <c r="E31" s="4" t="s">
        <v>32</v>
      </c>
      <c r="F31" s="4" t="s">
        <v>41</v>
      </c>
      <c r="G31" s="5">
        <v>44956</v>
      </c>
      <c r="H31" s="4">
        <v>90</v>
      </c>
      <c r="I31" s="4">
        <v>169.5</v>
      </c>
      <c r="J31" s="6">
        <v>373.23</v>
      </c>
      <c r="K31">
        <f t="shared" si="0"/>
        <v>106</v>
      </c>
      <c r="L31">
        <f t="shared" si="1"/>
        <v>83</v>
      </c>
      <c r="M31" t="str">
        <f>IF(B31="",$Z$18,B31)</f>
        <v>West</v>
      </c>
      <c r="N31" t="str">
        <f>IF(D31="",$Z$19,D31)</f>
        <v>Beverages</v>
      </c>
      <c r="O31">
        <f>IF(H31="",$Y$24,H31)</f>
        <v>90</v>
      </c>
      <c r="P31">
        <f>IF(I31="",$Z$24,I31)</f>
        <v>169.5</v>
      </c>
      <c r="Q31">
        <f t="shared" si="2"/>
        <v>15255</v>
      </c>
      <c r="R31">
        <f t="shared" si="3"/>
        <v>-18335.700000000004</v>
      </c>
    </row>
    <row r="32" spans="1:26">
      <c r="A32" s="3" t="s">
        <v>77</v>
      </c>
      <c r="B32" s="4" t="s">
        <v>5</v>
      </c>
      <c r="C32" s="4" t="s">
        <v>35</v>
      </c>
      <c r="D32" s="4" t="s">
        <v>9</v>
      </c>
      <c r="E32" s="4" t="s">
        <v>32</v>
      </c>
      <c r="F32" s="4" t="s">
        <v>36</v>
      </c>
      <c r="G32" s="5">
        <v>44957</v>
      </c>
      <c r="H32" s="4">
        <v>123</v>
      </c>
      <c r="I32" s="4">
        <v>273.52999999999997</v>
      </c>
      <c r="J32" s="6">
        <v>230.92</v>
      </c>
      <c r="K32">
        <f t="shared" si="0"/>
        <v>106</v>
      </c>
      <c r="L32">
        <f t="shared" si="1"/>
        <v>83</v>
      </c>
      <c r="M32" t="str">
        <f>IF(B32="",$Z$18,B32)</f>
        <v>West</v>
      </c>
      <c r="N32" t="str">
        <f>IF(D32="",$Z$19,D32)</f>
        <v>Beverages</v>
      </c>
      <c r="O32">
        <f>IF(H32="",$Y$24,H32)</f>
        <v>123</v>
      </c>
      <c r="P32">
        <f>IF(I32="",$Z$24,I32)</f>
        <v>273.52999999999997</v>
      </c>
      <c r="Q32">
        <f t="shared" si="2"/>
        <v>33644.189999999995</v>
      </c>
      <c r="R32">
        <f t="shared" si="3"/>
        <v>5241.0299999999952</v>
      </c>
    </row>
    <row r="33" spans="1:18">
      <c r="A33" s="3" t="s">
        <v>78</v>
      </c>
      <c r="B33" s="4" t="s">
        <v>3</v>
      </c>
      <c r="C33" s="4" t="s">
        <v>31</v>
      </c>
      <c r="D33" s="4" t="s">
        <v>9</v>
      </c>
      <c r="E33" s="4" t="s">
        <v>32</v>
      </c>
      <c r="F33" s="4" t="s">
        <v>33</v>
      </c>
      <c r="G33" s="5">
        <v>44958</v>
      </c>
      <c r="H33" s="4">
        <v>49</v>
      </c>
      <c r="I33" s="4">
        <v>249.17</v>
      </c>
      <c r="J33" s="6">
        <v>192.78</v>
      </c>
      <c r="K33">
        <f t="shared" si="0"/>
        <v>78</v>
      </c>
      <c r="L33">
        <f t="shared" si="1"/>
        <v>83</v>
      </c>
      <c r="M33" t="str">
        <f>IF(B33="",$Z$18,B33)</f>
        <v>North</v>
      </c>
      <c r="N33" t="str">
        <f>IF(D33="",$Z$19,D33)</f>
        <v>Beverages</v>
      </c>
      <c r="O33">
        <f>IF(H33="",$Y$24,H33)</f>
        <v>49</v>
      </c>
      <c r="P33">
        <f>IF(I33="",$Z$24,I33)</f>
        <v>249.17</v>
      </c>
      <c r="Q33">
        <f t="shared" si="2"/>
        <v>12209.33</v>
      </c>
      <c r="R33">
        <f t="shared" si="3"/>
        <v>2763.1100000000006</v>
      </c>
    </row>
    <row r="34" spans="1:18">
      <c r="A34" s="3" t="s">
        <v>79</v>
      </c>
      <c r="B34" s="4" t="s">
        <v>5</v>
      </c>
      <c r="C34" s="4" t="s">
        <v>46</v>
      </c>
      <c r="D34" s="4" t="s">
        <v>9</v>
      </c>
      <c r="E34" s="4" t="s">
        <v>32</v>
      </c>
      <c r="F34" s="4" t="s">
        <v>41</v>
      </c>
      <c r="G34" s="5">
        <v>44959</v>
      </c>
      <c r="H34" s="4">
        <v>310</v>
      </c>
      <c r="I34" s="4">
        <v>45.36</v>
      </c>
      <c r="J34" s="6">
        <v>126.86</v>
      </c>
      <c r="K34">
        <f t="shared" si="0"/>
        <v>106</v>
      </c>
      <c r="L34">
        <f t="shared" si="1"/>
        <v>83</v>
      </c>
      <c r="M34" t="str">
        <f>IF(B34="",$Z$18,B34)</f>
        <v>West</v>
      </c>
      <c r="N34" t="str">
        <f>IF(D34="",$Z$19,D34)</f>
        <v>Beverages</v>
      </c>
      <c r="O34">
        <f>IF(H34="",$Y$24,H34)</f>
        <v>310</v>
      </c>
      <c r="P34">
        <f>IF(I34="",$Z$24,I34)</f>
        <v>45.36</v>
      </c>
      <c r="Q34">
        <f t="shared" si="2"/>
        <v>14061.6</v>
      </c>
      <c r="R34">
        <f t="shared" si="3"/>
        <v>-25265</v>
      </c>
    </row>
    <row r="35" spans="1:18">
      <c r="A35" s="3" t="s">
        <v>80</v>
      </c>
      <c r="B35" s="4" t="s">
        <v>4</v>
      </c>
      <c r="C35" s="4" t="s">
        <v>35</v>
      </c>
      <c r="D35" s="4" t="s">
        <v>10</v>
      </c>
      <c r="E35" s="4" t="s">
        <v>32</v>
      </c>
      <c r="F35" s="4" t="s">
        <v>36</v>
      </c>
      <c r="G35" s="5">
        <v>44960</v>
      </c>
      <c r="H35" s="4">
        <v>233</v>
      </c>
      <c r="I35" s="4">
        <v>204.61</v>
      </c>
      <c r="J35" s="6">
        <v>243.34</v>
      </c>
      <c r="K35">
        <f t="shared" si="0"/>
        <v>75</v>
      </c>
      <c r="L35">
        <f t="shared" si="1"/>
        <v>67</v>
      </c>
      <c r="M35" t="str">
        <f>IF(B35="",$Z$18,B35)</f>
        <v>South</v>
      </c>
      <c r="N35" t="str">
        <f>IF(D35="",$Z$19,D35)</f>
        <v>Clothing</v>
      </c>
      <c r="O35">
        <f>IF(H35="",$Y$24,H35)</f>
        <v>233</v>
      </c>
      <c r="P35">
        <f>IF(I35="",$Z$24,I35)</f>
        <v>204.61</v>
      </c>
      <c r="Q35">
        <f t="shared" si="2"/>
        <v>47674.130000000005</v>
      </c>
      <c r="R35">
        <f t="shared" si="3"/>
        <v>-9024.0899999999965</v>
      </c>
    </row>
    <row r="36" spans="1:18">
      <c r="A36" s="3" t="s">
        <v>81</v>
      </c>
      <c r="B36" s="4" t="s">
        <v>4</v>
      </c>
      <c r="C36" s="4" t="s">
        <v>31</v>
      </c>
      <c r="D36" s="4" t="s">
        <v>12</v>
      </c>
      <c r="E36" s="4" t="s">
        <v>32</v>
      </c>
      <c r="F36" s="4" t="s">
        <v>33</v>
      </c>
      <c r="G36" s="5">
        <v>44961</v>
      </c>
      <c r="H36" s="4">
        <v>327</v>
      </c>
      <c r="I36" s="4">
        <v>114.18</v>
      </c>
      <c r="J36" s="6">
        <v>57.4</v>
      </c>
      <c r="K36">
        <f t="shared" si="0"/>
        <v>75</v>
      </c>
      <c r="L36">
        <f t="shared" si="1"/>
        <v>61</v>
      </c>
      <c r="M36" t="str">
        <f>IF(B36="",$Z$18,B36)</f>
        <v>South</v>
      </c>
      <c r="N36" t="str">
        <f>IF(D36="",$Z$19,D36)</f>
        <v>Food</v>
      </c>
      <c r="O36">
        <f>IF(H36="",$Y$24,H36)</f>
        <v>327</v>
      </c>
      <c r="P36">
        <f>IF(I36="",$Z$24,I36)</f>
        <v>114.18</v>
      </c>
      <c r="Q36">
        <f t="shared" si="2"/>
        <v>37336.86</v>
      </c>
      <c r="R36">
        <f t="shared" si="3"/>
        <v>18567.060000000001</v>
      </c>
    </row>
    <row r="37" spans="1:18">
      <c r="A37" s="3" t="s">
        <v>82</v>
      </c>
      <c r="B37" s="4" t="s">
        <v>3</v>
      </c>
      <c r="C37" s="4" t="s">
        <v>31</v>
      </c>
      <c r="D37" s="4" t="s">
        <v>9</v>
      </c>
      <c r="E37" s="4" t="s">
        <v>32</v>
      </c>
      <c r="F37" s="4" t="s">
        <v>41</v>
      </c>
      <c r="G37" s="5">
        <v>44962</v>
      </c>
      <c r="H37" s="4">
        <v>358</v>
      </c>
      <c r="I37" s="4">
        <v>212.11</v>
      </c>
      <c r="J37" s="6">
        <v>359.51</v>
      </c>
      <c r="K37">
        <f t="shared" si="0"/>
        <v>78</v>
      </c>
      <c r="L37">
        <f t="shared" si="1"/>
        <v>83</v>
      </c>
      <c r="M37" t="str">
        <f>IF(B37="",$Z$18,B37)</f>
        <v>North</v>
      </c>
      <c r="N37" t="str">
        <f>IF(D37="",$Z$19,D37)</f>
        <v>Beverages</v>
      </c>
      <c r="O37">
        <f>IF(H37="",$Y$24,H37)</f>
        <v>358</v>
      </c>
      <c r="P37">
        <f>IF(I37="",$Z$24,I37)</f>
        <v>212.11</v>
      </c>
      <c r="Q37">
        <f t="shared" si="2"/>
        <v>75935.38</v>
      </c>
      <c r="R37">
        <f t="shared" si="3"/>
        <v>-52769.2</v>
      </c>
    </row>
    <row r="38" spans="1:18">
      <c r="A38" s="3" t="s">
        <v>83</v>
      </c>
      <c r="B38" s="4" t="s">
        <v>5</v>
      </c>
      <c r="C38" s="4" t="s">
        <v>46</v>
      </c>
      <c r="D38" s="4" t="s">
        <v>12</v>
      </c>
      <c r="E38" s="4" t="s">
        <v>32</v>
      </c>
      <c r="F38" s="4" t="s">
        <v>33</v>
      </c>
      <c r="G38" s="5">
        <v>44963</v>
      </c>
      <c r="H38" s="4">
        <v>124</v>
      </c>
      <c r="I38" s="4">
        <v>249.64520588235297</v>
      </c>
      <c r="J38" s="6">
        <v>332.07</v>
      </c>
      <c r="K38">
        <f t="shared" si="0"/>
        <v>106</v>
      </c>
      <c r="L38">
        <f t="shared" si="1"/>
        <v>61</v>
      </c>
      <c r="M38" t="str">
        <f>IF(B38="",$Z$18,B38)</f>
        <v>West</v>
      </c>
      <c r="N38" t="str">
        <f>IF(D38="",$Z$19,D38)</f>
        <v>Food</v>
      </c>
      <c r="O38">
        <f>IF(H38="",$Y$24,H38)</f>
        <v>124</v>
      </c>
      <c r="P38">
        <f>IF(I38="",$Z$24,I38)</f>
        <v>249.64520588235297</v>
      </c>
      <c r="Q38">
        <f t="shared" si="2"/>
        <v>30956.005529411766</v>
      </c>
      <c r="R38">
        <f t="shared" si="3"/>
        <v>-10220.674470588234</v>
      </c>
    </row>
    <row r="39" spans="1:18">
      <c r="A39" s="3" t="s">
        <v>84</v>
      </c>
      <c r="B39" s="4" t="s">
        <v>3</v>
      </c>
      <c r="C39" s="4" t="s">
        <v>35</v>
      </c>
      <c r="D39" s="4" t="s">
        <v>10</v>
      </c>
      <c r="E39" s="4" t="s">
        <v>32</v>
      </c>
      <c r="F39" s="4" t="s">
        <v>41</v>
      </c>
      <c r="G39" s="5">
        <v>44964</v>
      </c>
      <c r="H39" s="4">
        <v>195</v>
      </c>
      <c r="I39" s="4">
        <v>421.02</v>
      </c>
      <c r="J39" s="6">
        <v>128.38</v>
      </c>
      <c r="K39">
        <f t="shared" si="0"/>
        <v>78</v>
      </c>
      <c r="L39">
        <f t="shared" si="1"/>
        <v>67</v>
      </c>
      <c r="M39" t="str">
        <f>IF(B39="",$Z$18,B39)</f>
        <v>North</v>
      </c>
      <c r="N39" t="str">
        <f>IF(D39="",$Z$19,D39)</f>
        <v>Clothing</v>
      </c>
      <c r="O39">
        <f>IF(H39="",$Y$24,H39)</f>
        <v>195</v>
      </c>
      <c r="P39">
        <f>IF(I39="",$Z$24,I39)</f>
        <v>421.02</v>
      </c>
      <c r="Q39">
        <f t="shared" si="2"/>
        <v>82098.899999999994</v>
      </c>
      <c r="R39">
        <f t="shared" si="3"/>
        <v>57064.799999999996</v>
      </c>
    </row>
    <row r="40" spans="1:18">
      <c r="A40" s="3" t="s">
        <v>85</v>
      </c>
      <c r="B40" s="4" t="s">
        <v>3</v>
      </c>
      <c r="C40" s="4" t="s">
        <v>46</v>
      </c>
      <c r="D40" s="4" t="s">
        <v>10</v>
      </c>
      <c r="E40" s="4" t="s">
        <v>32</v>
      </c>
      <c r="F40" s="4" t="s">
        <v>33</v>
      </c>
      <c r="G40" s="5">
        <v>44965</v>
      </c>
      <c r="H40" s="4">
        <v>255.90294117647059</v>
      </c>
      <c r="I40" s="4">
        <v>91.23</v>
      </c>
      <c r="J40" s="6">
        <v>381.21</v>
      </c>
      <c r="K40">
        <f t="shared" si="0"/>
        <v>78</v>
      </c>
      <c r="L40">
        <f t="shared" si="1"/>
        <v>67</v>
      </c>
      <c r="M40" t="str">
        <f>IF(B40="",$Z$18,B40)</f>
        <v>North</v>
      </c>
      <c r="N40" t="str">
        <f>IF(D40="",$Z$19,D40)</f>
        <v>Clothing</v>
      </c>
      <c r="O40">
        <f>IF(H40="",$Y$24,H40)</f>
        <v>255.90294117647059</v>
      </c>
      <c r="P40">
        <f>IF(I40="",$Z$24,I40)</f>
        <v>91.23</v>
      </c>
      <c r="Q40">
        <f t="shared" si="2"/>
        <v>23346.025323529411</v>
      </c>
      <c r="R40">
        <f t="shared" si="3"/>
        <v>-74206.734882352946</v>
      </c>
    </row>
    <row r="41" spans="1:18">
      <c r="A41" s="3" t="s">
        <v>86</v>
      </c>
      <c r="B41" s="4" t="s">
        <v>2</v>
      </c>
      <c r="C41" s="4" t="s">
        <v>35</v>
      </c>
      <c r="D41" s="4" t="s">
        <v>12</v>
      </c>
      <c r="E41" s="4" t="s">
        <v>38</v>
      </c>
      <c r="F41" s="4" t="s">
        <v>33</v>
      </c>
      <c r="G41" s="5">
        <v>44966</v>
      </c>
      <c r="H41" s="4">
        <v>65</v>
      </c>
      <c r="I41" s="4">
        <v>480.59</v>
      </c>
      <c r="J41" s="6">
        <v>330.43</v>
      </c>
      <c r="K41">
        <f t="shared" si="0"/>
        <v>91</v>
      </c>
      <c r="L41">
        <f t="shared" si="1"/>
        <v>61</v>
      </c>
      <c r="M41" t="str">
        <f>IF(B41="",$Z$18,B41)</f>
        <v>East</v>
      </c>
      <c r="N41" t="str">
        <f>IF(D41="",$Z$19,D41)</f>
        <v>Food</v>
      </c>
      <c r="O41">
        <f>IF(H41="",$Y$24,H41)</f>
        <v>65</v>
      </c>
      <c r="P41">
        <f>IF(I41="",$Z$24,I41)</f>
        <v>480.59</v>
      </c>
      <c r="Q41">
        <f t="shared" si="2"/>
        <v>31238.35</v>
      </c>
      <c r="R41">
        <f t="shared" si="3"/>
        <v>9760.3999999999978</v>
      </c>
    </row>
    <row r="42" spans="1:18">
      <c r="A42" s="3" t="s">
        <v>87</v>
      </c>
      <c r="B42" s="4" t="s">
        <v>2</v>
      </c>
      <c r="C42" s="4" t="s">
        <v>65</v>
      </c>
      <c r="D42" s="4" t="s">
        <v>11</v>
      </c>
      <c r="E42" s="4" t="s">
        <v>38</v>
      </c>
      <c r="F42" s="4" t="s">
        <v>36</v>
      </c>
      <c r="G42" s="5">
        <v>44967</v>
      </c>
      <c r="H42" s="4">
        <v>49</v>
      </c>
      <c r="I42" s="4">
        <v>210.87</v>
      </c>
      <c r="J42" s="6">
        <v>267.19</v>
      </c>
      <c r="K42">
        <f t="shared" si="0"/>
        <v>91</v>
      </c>
      <c r="L42">
        <f t="shared" si="1"/>
        <v>70</v>
      </c>
      <c r="M42" t="str">
        <f>IF(B42="",$Z$18,B42)</f>
        <v>East</v>
      </c>
      <c r="N42" t="str">
        <f>IF(D42="",$Z$19,D42)</f>
        <v>Electronics</v>
      </c>
      <c r="O42">
        <f>IF(H42="",$Y$24,H42)</f>
        <v>49</v>
      </c>
      <c r="P42">
        <f>IF(I42="",$Z$24,I42)</f>
        <v>210.87</v>
      </c>
      <c r="Q42">
        <f t="shared" si="2"/>
        <v>10332.630000000001</v>
      </c>
      <c r="R42">
        <f t="shared" si="3"/>
        <v>-2759.6799999999985</v>
      </c>
    </row>
    <row r="43" spans="1:18">
      <c r="A43" s="3" t="s">
        <v>88</v>
      </c>
      <c r="B43" s="4" t="s">
        <v>2</v>
      </c>
      <c r="C43" s="4" t="s">
        <v>40</v>
      </c>
      <c r="D43" s="4" t="s">
        <v>13</v>
      </c>
      <c r="E43" s="4" t="s">
        <v>32</v>
      </c>
      <c r="F43" s="4" t="s">
        <v>33</v>
      </c>
      <c r="G43" s="5">
        <v>44968</v>
      </c>
      <c r="H43" s="4">
        <v>363</v>
      </c>
      <c r="I43" s="4">
        <v>423.89</v>
      </c>
      <c r="J43" s="6">
        <v>50.46</v>
      </c>
      <c r="K43">
        <f t="shared" si="0"/>
        <v>91</v>
      </c>
      <c r="L43">
        <f t="shared" si="1"/>
        <v>69</v>
      </c>
      <c r="M43" t="str">
        <f>IF(B43="",$Z$18,B43)</f>
        <v>East</v>
      </c>
      <c r="N43" t="str">
        <f>IF(D43="",$Z$19,D43)</f>
        <v>Furniture</v>
      </c>
      <c r="O43">
        <f>IF(H43="",$Y$24,H43)</f>
        <v>363</v>
      </c>
      <c r="P43">
        <f>IF(I43="",$Z$24,I43)</f>
        <v>423.89</v>
      </c>
      <c r="Q43">
        <f t="shared" si="2"/>
        <v>153872.07</v>
      </c>
      <c r="R43">
        <f t="shared" si="3"/>
        <v>135555.09</v>
      </c>
    </row>
    <row r="44" spans="1:18">
      <c r="A44" s="3" t="s">
        <v>89</v>
      </c>
      <c r="B44" s="4" t="s">
        <v>4</v>
      </c>
      <c r="C44" s="4" t="s">
        <v>40</v>
      </c>
      <c r="D44" s="4" t="s">
        <v>11</v>
      </c>
      <c r="E44" s="4" t="s">
        <v>38</v>
      </c>
      <c r="F44" s="4" t="s">
        <v>41</v>
      </c>
      <c r="G44" s="5">
        <v>44969</v>
      </c>
      <c r="H44" s="4">
        <v>49</v>
      </c>
      <c r="I44" s="4">
        <v>316.24</v>
      </c>
      <c r="J44" s="6">
        <v>192.34</v>
      </c>
      <c r="K44">
        <f t="shared" si="0"/>
        <v>75</v>
      </c>
      <c r="L44">
        <f t="shared" si="1"/>
        <v>70</v>
      </c>
      <c r="M44" t="str">
        <f>IF(B44="",$Z$18,B44)</f>
        <v>South</v>
      </c>
      <c r="N44" t="str">
        <f>IF(D44="",$Z$19,D44)</f>
        <v>Electronics</v>
      </c>
      <c r="O44">
        <f>IF(H44="",$Y$24,H44)</f>
        <v>49</v>
      </c>
      <c r="P44">
        <f>IF(I44="",$Z$24,I44)</f>
        <v>316.24</v>
      </c>
      <c r="Q44">
        <f t="shared" si="2"/>
        <v>15495.76</v>
      </c>
      <c r="R44">
        <f t="shared" si="3"/>
        <v>6071.1</v>
      </c>
    </row>
    <row r="45" spans="1:18">
      <c r="A45" s="3" t="s">
        <v>90</v>
      </c>
      <c r="B45" s="4" t="s">
        <v>5</v>
      </c>
      <c r="C45" s="4" t="s">
        <v>40</v>
      </c>
      <c r="D45" s="4" t="s">
        <v>11</v>
      </c>
      <c r="E45" s="4" t="s">
        <v>38</v>
      </c>
      <c r="F45" s="4" t="s">
        <v>41</v>
      </c>
      <c r="G45" s="5">
        <v>44970</v>
      </c>
      <c r="H45" s="4">
        <v>356</v>
      </c>
      <c r="I45" s="4">
        <v>369</v>
      </c>
      <c r="J45" s="6">
        <v>203.43</v>
      </c>
      <c r="K45">
        <f t="shared" si="0"/>
        <v>106</v>
      </c>
      <c r="L45">
        <f t="shared" si="1"/>
        <v>70</v>
      </c>
      <c r="M45" t="str">
        <f>IF(B45="",$Z$18,B45)</f>
        <v>West</v>
      </c>
      <c r="N45" t="str">
        <f>IF(D45="",$Z$19,D45)</f>
        <v>Electronics</v>
      </c>
      <c r="O45">
        <f>IF(H45="",$Y$24,H45)</f>
        <v>356</v>
      </c>
      <c r="P45">
        <f>IF(I45="",$Z$24,I45)</f>
        <v>369</v>
      </c>
      <c r="Q45">
        <f t="shared" si="2"/>
        <v>131364</v>
      </c>
      <c r="R45">
        <f t="shared" si="3"/>
        <v>58942.92</v>
      </c>
    </row>
    <row r="46" spans="1:18">
      <c r="A46" s="3" t="s">
        <v>91</v>
      </c>
      <c r="B46" s="4" t="s">
        <v>5</v>
      </c>
      <c r="C46" s="4" t="s">
        <v>46</v>
      </c>
      <c r="D46" s="4" t="s">
        <v>11</v>
      </c>
      <c r="E46" s="4" t="s">
        <v>32</v>
      </c>
      <c r="F46" s="4" t="s">
        <v>36</v>
      </c>
      <c r="G46" s="5">
        <v>44971</v>
      </c>
      <c r="H46" s="4">
        <v>470</v>
      </c>
      <c r="I46" s="4">
        <v>249.64520588235297</v>
      </c>
      <c r="J46" s="6">
        <v>94.56</v>
      </c>
      <c r="K46">
        <f t="shared" si="0"/>
        <v>106</v>
      </c>
      <c r="L46">
        <f t="shared" si="1"/>
        <v>70</v>
      </c>
      <c r="M46" t="str">
        <f>IF(B46="",$Z$18,B46)</f>
        <v>West</v>
      </c>
      <c r="N46" t="str">
        <f>IF(D46="",$Z$19,D46)</f>
        <v>Electronics</v>
      </c>
      <c r="O46">
        <f>IF(H46="",$Y$24,H46)</f>
        <v>470</v>
      </c>
      <c r="P46">
        <f>IF(I46="",$Z$24,I46)</f>
        <v>249.64520588235297</v>
      </c>
      <c r="Q46">
        <f t="shared" si="2"/>
        <v>117333.24676470589</v>
      </c>
      <c r="R46">
        <f t="shared" si="3"/>
        <v>72890.046764705883</v>
      </c>
    </row>
    <row r="47" spans="1:18">
      <c r="A47" s="3" t="s">
        <v>92</v>
      </c>
      <c r="B47" s="4" t="s">
        <v>5</v>
      </c>
      <c r="C47" s="4" t="s">
        <v>65</v>
      </c>
      <c r="D47" s="4" t="s">
        <v>9</v>
      </c>
      <c r="E47" s="4" t="s">
        <v>32</v>
      </c>
      <c r="F47" s="4" t="s">
        <v>41</v>
      </c>
      <c r="G47" s="5">
        <v>44972</v>
      </c>
      <c r="H47" s="4">
        <v>246</v>
      </c>
      <c r="I47" s="4">
        <v>254.9</v>
      </c>
      <c r="J47" s="6">
        <v>33.83</v>
      </c>
      <c r="K47">
        <f t="shared" si="0"/>
        <v>106</v>
      </c>
      <c r="L47">
        <f t="shared" si="1"/>
        <v>83</v>
      </c>
      <c r="M47" t="str">
        <f>IF(B47="",$Z$18,B47)</f>
        <v>West</v>
      </c>
      <c r="N47" t="str">
        <f>IF(D47="",$Z$19,D47)</f>
        <v>Beverages</v>
      </c>
      <c r="O47">
        <f>IF(H47="",$Y$24,H47)</f>
        <v>246</v>
      </c>
      <c r="P47">
        <f>IF(I47="",$Z$24,I47)</f>
        <v>254.9</v>
      </c>
      <c r="Q47">
        <f t="shared" si="2"/>
        <v>62705.4</v>
      </c>
      <c r="R47">
        <f t="shared" si="3"/>
        <v>54383.22</v>
      </c>
    </row>
    <row r="48" spans="1:18">
      <c r="A48" s="3" t="s">
        <v>93</v>
      </c>
      <c r="B48" s="4" t="s">
        <v>5</v>
      </c>
      <c r="C48" s="4" t="s">
        <v>35</v>
      </c>
      <c r="D48" s="4" t="s">
        <v>10</v>
      </c>
      <c r="E48" s="4" t="s">
        <v>32</v>
      </c>
      <c r="F48" s="4" t="s">
        <v>41</v>
      </c>
      <c r="G48" s="5">
        <v>44973</v>
      </c>
      <c r="H48" s="4">
        <v>298</v>
      </c>
      <c r="I48" s="4">
        <v>273.93</v>
      </c>
      <c r="J48" s="6">
        <v>311.14</v>
      </c>
      <c r="K48">
        <f t="shared" si="0"/>
        <v>106</v>
      </c>
      <c r="L48">
        <f t="shared" si="1"/>
        <v>67</v>
      </c>
      <c r="M48" t="str">
        <f>IF(B48="",$Z$18,B48)</f>
        <v>West</v>
      </c>
      <c r="N48" t="str">
        <f>IF(D48="",$Z$19,D48)</f>
        <v>Clothing</v>
      </c>
      <c r="O48">
        <f>IF(H48="",$Y$24,H48)</f>
        <v>298</v>
      </c>
      <c r="P48">
        <f>IF(I48="",$Z$24,I48)</f>
        <v>273.93</v>
      </c>
      <c r="Q48">
        <f t="shared" si="2"/>
        <v>81631.14</v>
      </c>
      <c r="R48">
        <f t="shared" si="3"/>
        <v>-11088.580000000002</v>
      </c>
    </row>
    <row r="49" spans="1:18">
      <c r="A49" s="3" t="s">
        <v>94</v>
      </c>
      <c r="B49" s="4" t="s">
        <v>2</v>
      </c>
      <c r="C49" s="4" t="s">
        <v>31</v>
      </c>
      <c r="D49" s="4" t="s">
        <v>11</v>
      </c>
      <c r="E49" s="4" t="s">
        <v>38</v>
      </c>
      <c r="F49" s="4" t="s">
        <v>41</v>
      </c>
      <c r="G49" s="5">
        <v>44974</v>
      </c>
      <c r="H49" s="4">
        <v>271</v>
      </c>
      <c r="I49" s="4">
        <v>259.43</v>
      </c>
      <c r="J49" s="6">
        <v>50.57</v>
      </c>
      <c r="K49">
        <f t="shared" si="0"/>
        <v>91</v>
      </c>
      <c r="L49">
        <f t="shared" si="1"/>
        <v>70</v>
      </c>
      <c r="M49" t="str">
        <f>IF(B49="",$Z$18,B49)</f>
        <v>East</v>
      </c>
      <c r="N49" t="str">
        <f>IF(D49="",$Z$19,D49)</f>
        <v>Electronics</v>
      </c>
      <c r="O49">
        <f>IF(H49="",$Y$24,H49)</f>
        <v>271</v>
      </c>
      <c r="P49">
        <f>IF(I49="",$Z$24,I49)</f>
        <v>259.43</v>
      </c>
      <c r="Q49">
        <f t="shared" si="2"/>
        <v>70305.53</v>
      </c>
      <c r="R49">
        <f t="shared" si="3"/>
        <v>56601.06</v>
      </c>
    </row>
    <row r="50" spans="1:18">
      <c r="A50" s="3" t="s">
        <v>95</v>
      </c>
      <c r="B50" s="4" t="s">
        <v>4</v>
      </c>
      <c r="C50" s="4" t="s">
        <v>35</v>
      </c>
      <c r="D50" s="4" t="s">
        <v>10</v>
      </c>
      <c r="E50" s="4" t="s">
        <v>38</v>
      </c>
      <c r="F50" s="4" t="s">
        <v>33</v>
      </c>
      <c r="G50" s="5">
        <v>44975</v>
      </c>
      <c r="H50" s="4">
        <v>225</v>
      </c>
      <c r="I50" s="4">
        <v>296.08999999999997</v>
      </c>
      <c r="J50" s="6">
        <v>238.53</v>
      </c>
      <c r="K50">
        <f t="shared" si="0"/>
        <v>75</v>
      </c>
      <c r="L50">
        <f t="shared" si="1"/>
        <v>67</v>
      </c>
      <c r="M50" t="str">
        <f>IF(B50="",$Z$18,B50)</f>
        <v>South</v>
      </c>
      <c r="N50" t="str">
        <f>IF(D50="",$Z$19,D50)</f>
        <v>Clothing</v>
      </c>
      <c r="O50">
        <f>IF(H50="",$Y$24,H50)</f>
        <v>225</v>
      </c>
      <c r="P50">
        <f>IF(I50="",$Z$24,I50)</f>
        <v>296.08999999999997</v>
      </c>
      <c r="Q50">
        <f t="shared" si="2"/>
        <v>66620.25</v>
      </c>
      <c r="R50">
        <f t="shared" si="3"/>
        <v>12951</v>
      </c>
    </row>
    <row r="51" spans="1:18">
      <c r="A51" s="3" t="s">
        <v>96</v>
      </c>
      <c r="B51" s="4" t="s">
        <v>5</v>
      </c>
      <c r="C51" s="4" t="s">
        <v>31</v>
      </c>
      <c r="D51" s="4" t="s">
        <v>12</v>
      </c>
      <c r="E51" s="4" t="s">
        <v>32</v>
      </c>
      <c r="F51" s="4" t="s">
        <v>33</v>
      </c>
      <c r="G51" s="5">
        <v>44976</v>
      </c>
      <c r="H51" s="4">
        <v>156</v>
      </c>
      <c r="I51" s="4">
        <v>19.55</v>
      </c>
      <c r="J51" s="6">
        <v>374.71</v>
      </c>
      <c r="K51">
        <f t="shared" si="0"/>
        <v>106</v>
      </c>
      <c r="L51">
        <f t="shared" si="1"/>
        <v>61</v>
      </c>
      <c r="M51" t="str">
        <f>IF(B51="",$Z$18,B51)</f>
        <v>West</v>
      </c>
      <c r="N51" t="str">
        <f>IF(D51="",$Z$19,D51)</f>
        <v>Food</v>
      </c>
      <c r="O51">
        <f>IF(H51="",$Y$24,H51)</f>
        <v>156</v>
      </c>
      <c r="P51">
        <f>IF(I51="",$Z$24,I51)</f>
        <v>19.55</v>
      </c>
      <c r="Q51">
        <f t="shared" si="2"/>
        <v>3049.8</v>
      </c>
      <c r="R51">
        <f t="shared" si="3"/>
        <v>-55404.959999999992</v>
      </c>
    </row>
    <row r="52" spans="1:18">
      <c r="A52" s="3" t="s">
        <v>97</v>
      </c>
      <c r="B52" s="4" t="s">
        <v>2</v>
      </c>
      <c r="C52" s="4" t="s">
        <v>35</v>
      </c>
      <c r="D52" s="4" t="s">
        <v>13</v>
      </c>
      <c r="E52" s="4" t="s">
        <v>32</v>
      </c>
      <c r="F52" s="4" t="s">
        <v>41</v>
      </c>
      <c r="G52" s="5">
        <v>44977</v>
      </c>
      <c r="H52" s="4">
        <v>345</v>
      </c>
      <c r="I52" s="4">
        <v>200.78</v>
      </c>
      <c r="J52" s="6">
        <v>350.69</v>
      </c>
      <c r="K52">
        <f t="shared" si="0"/>
        <v>91</v>
      </c>
      <c r="L52">
        <f t="shared" si="1"/>
        <v>69</v>
      </c>
      <c r="M52" t="str">
        <f>IF(B52="",$Z$18,B52)</f>
        <v>East</v>
      </c>
      <c r="N52" t="str">
        <f>IF(D52="",$Z$19,D52)</f>
        <v>Furniture</v>
      </c>
      <c r="O52">
        <f>IF(H52="",$Y$24,H52)</f>
        <v>345</v>
      </c>
      <c r="P52">
        <f>IF(I52="",$Z$24,I52)</f>
        <v>200.78</v>
      </c>
      <c r="Q52">
        <f t="shared" si="2"/>
        <v>69269.100000000006</v>
      </c>
      <c r="R52">
        <f t="shared" si="3"/>
        <v>-51718.95</v>
      </c>
    </row>
    <row r="53" spans="1:18">
      <c r="A53" s="3" t="s">
        <v>98</v>
      </c>
      <c r="B53" s="4" t="s">
        <v>4</v>
      </c>
      <c r="C53" s="4" t="s">
        <v>65</v>
      </c>
      <c r="D53" s="4" t="s">
        <v>12</v>
      </c>
      <c r="E53" s="4" t="s">
        <v>32</v>
      </c>
      <c r="F53" s="4" t="s">
        <v>36</v>
      </c>
      <c r="G53" s="5">
        <v>44978</v>
      </c>
      <c r="H53" s="4">
        <v>177</v>
      </c>
      <c r="I53" s="4">
        <v>305.06</v>
      </c>
      <c r="J53" s="6">
        <v>112.55</v>
      </c>
      <c r="K53">
        <f t="shared" si="0"/>
        <v>75</v>
      </c>
      <c r="L53">
        <f t="shared" si="1"/>
        <v>61</v>
      </c>
      <c r="M53" t="str">
        <f>IF(B53="",$Z$18,B53)</f>
        <v>South</v>
      </c>
      <c r="N53" t="str">
        <f>IF(D53="",$Z$19,D53)</f>
        <v>Food</v>
      </c>
      <c r="O53">
        <f>IF(H53="",$Y$24,H53)</f>
        <v>177</v>
      </c>
      <c r="P53">
        <f>IF(I53="",$Z$24,I53)</f>
        <v>305.06</v>
      </c>
      <c r="Q53">
        <f t="shared" si="2"/>
        <v>53995.62</v>
      </c>
      <c r="R53">
        <f t="shared" si="3"/>
        <v>34074.270000000004</v>
      </c>
    </row>
    <row r="54" spans="1:18">
      <c r="A54" s="3" t="s">
        <v>99</v>
      </c>
      <c r="B54" s="4" t="s">
        <v>2</v>
      </c>
      <c r="C54" s="4" t="s">
        <v>31</v>
      </c>
      <c r="D54" s="4" t="s">
        <v>12</v>
      </c>
      <c r="E54" s="4" t="s">
        <v>38</v>
      </c>
      <c r="F54" s="4" t="s">
        <v>33</v>
      </c>
      <c r="G54" s="5">
        <v>44979</v>
      </c>
      <c r="H54" s="4">
        <v>101</v>
      </c>
      <c r="I54" s="4">
        <v>300.87</v>
      </c>
      <c r="J54" s="6">
        <v>340.88</v>
      </c>
      <c r="K54">
        <f t="shared" si="0"/>
        <v>91</v>
      </c>
      <c r="L54">
        <f t="shared" si="1"/>
        <v>61</v>
      </c>
      <c r="M54" t="str">
        <f>IF(B54="",$Z$18,B54)</f>
        <v>East</v>
      </c>
      <c r="N54" t="str">
        <f>IF(D54="",$Z$19,D54)</f>
        <v>Food</v>
      </c>
      <c r="O54">
        <f>IF(H54="",$Y$24,H54)</f>
        <v>101</v>
      </c>
      <c r="P54">
        <f>IF(I54="",$Z$24,I54)</f>
        <v>300.87</v>
      </c>
      <c r="Q54">
        <f t="shared" si="2"/>
        <v>30387.87</v>
      </c>
      <c r="R54">
        <f t="shared" si="3"/>
        <v>-4041.0099999999984</v>
      </c>
    </row>
    <row r="55" spans="1:18">
      <c r="A55" s="3" t="s">
        <v>100</v>
      </c>
      <c r="B55" s="4" t="s">
        <v>5</v>
      </c>
      <c r="C55" s="4" t="s">
        <v>46</v>
      </c>
      <c r="D55" s="4" t="s">
        <v>9</v>
      </c>
      <c r="E55" s="4" t="s">
        <v>38</v>
      </c>
      <c r="F55" s="4" t="s">
        <v>36</v>
      </c>
      <c r="G55" s="5">
        <v>44980</v>
      </c>
      <c r="H55" s="4">
        <v>362</v>
      </c>
      <c r="I55" s="4">
        <v>397.51</v>
      </c>
      <c r="J55" s="6">
        <v>2.13</v>
      </c>
      <c r="K55">
        <f t="shared" si="0"/>
        <v>106</v>
      </c>
      <c r="L55">
        <f t="shared" si="1"/>
        <v>83</v>
      </c>
      <c r="M55" t="str">
        <f>IF(B55="",$Z$18,B55)</f>
        <v>West</v>
      </c>
      <c r="N55" t="str">
        <f>IF(D55="",$Z$19,D55)</f>
        <v>Beverages</v>
      </c>
      <c r="O55">
        <f>IF(H55="",$Y$24,H55)</f>
        <v>362</v>
      </c>
      <c r="P55">
        <f>IF(I55="",$Z$24,I55)</f>
        <v>397.51</v>
      </c>
      <c r="Q55">
        <f t="shared" si="2"/>
        <v>143898.62</v>
      </c>
      <c r="R55">
        <f t="shared" si="3"/>
        <v>143127.56</v>
      </c>
    </row>
    <row r="56" spans="1:18">
      <c r="A56" s="3" t="s">
        <v>101</v>
      </c>
      <c r="B56" s="4" t="s">
        <v>2</v>
      </c>
      <c r="C56" s="4" t="s">
        <v>35</v>
      </c>
      <c r="D56" s="4" t="s">
        <v>13</v>
      </c>
      <c r="E56" s="4" t="s">
        <v>38</v>
      </c>
      <c r="F56" s="4" t="s">
        <v>41</v>
      </c>
      <c r="G56" s="5">
        <v>44981</v>
      </c>
      <c r="H56" s="4">
        <v>68</v>
      </c>
      <c r="I56" s="4">
        <v>329.23</v>
      </c>
      <c r="J56" s="6">
        <v>9.0399999999999991</v>
      </c>
      <c r="K56">
        <f t="shared" si="0"/>
        <v>91</v>
      </c>
      <c r="L56">
        <f t="shared" si="1"/>
        <v>69</v>
      </c>
      <c r="M56" t="str">
        <f>IF(B56="",$Z$18,B56)</f>
        <v>East</v>
      </c>
      <c r="N56" t="str">
        <f>IF(D56="",$Z$19,D56)</f>
        <v>Furniture</v>
      </c>
      <c r="O56">
        <f>IF(H56="",$Y$24,H56)</f>
        <v>68</v>
      </c>
      <c r="P56">
        <f>IF(I56="",$Z$24,I56)</f>
        <v>329.23</v>
      </c>
      <c r="Q56">
        <f t="shared" si="2"/>
        <v>22387.64</v>
      </c>
      <c r="R56">
        <f t="shared" si="3"/>
        <v>21772.92</v>
      </c>
    </row>
    <row r="57" spans="1:18">
      <c r="A57" s="3" t="s">
        <v>102</v>
      </c>
      <c r="B57" s="4" t="s">
        <v>5</v>
      </c>
      <c r="C57" s="4" t="s">
        <v>35</v>
      </c>
      <c r="D57" s="4" t="s">
        <v>12</v>
      </c>
      <c r="E57" s="4" t="s">
        <v>38</v>
      </c>
      <c r="F57" s="4" t="s">
        <v>41</v>
      </c>
      <c r="G57" s="5">
        <v>44982</v>
      </c>
      <c r="H57" s="4">
        <v>68</v>
      </c>
      <c r="I57" s="4">
        <v>496.11</v>
      </c>
      <c r="J57" s="6">
        <v>241.82</v>
      </c>
      <c r="K57">
        <f t="shared" si="0"/>
        <v>106</v>
      </c>
      <c r="L57">
        <f t="shared" si="1"/>
        <v>61</v>
      </c>
      <c r="M57" t="str">
        <f>IF(B57="",$Z$18,B57)</f>
        <v>West</v>
      </c>
      <c r="N57" t="str">
        <f>IF(D57="",$Z$19,D57)</f>
        <v>Food</v>
      </c>
      <c r="O57">
        <f>IF(H57="",$Y$24,H57)</f>
        <v>68</v>
      </c>
      <c r="P57">
        <f>IF(I57="",$Z$24,I57)</f>
        <v>496.11</v>
      </c>
      <c r="Q57">
        <f t="shared" si="2"/>
        <v>33735.480000000003</v>
      </c>
      <c r="R57">
        <f t="shared" si="3"/>
        <v>17291.720000000005</v>
      </c>
    </row>
    <row r="58" spans="1:18">
      <c r="A58" s="3" t="s">
        <v>103</v>
      </c>
      <c r="B58" s="4" t="s">
        <v>5</v>
      </c>
      <c r="C58" s="4" t="s">
        <v>31</v>
      </c>
      <c r="D58" s="4" t="s">
        <v>12</v>
      </c>
      <c r="E58" s="4" t="s">
        <v>32</v>
      </c>
      <c r="F58" s="4" t="s">
        <v>33</v>
      </c>
      <c r="G58" s="5">
        <v>44983</v>
      </c>
      <c r="H58" s="4">
        <v>313</v>
      </c>
      <c r="I58" s="4">
        <v>145.51</v>
      </c>
      <c r="J58" s="6">
        <v>147.19</v>
      </c>
      <c r="K58">
        <f t="shared" si="0"/>
        <v>106</v>
      </c>
      <c r="L58">
        <f t="shared" si="1"/>
        <v>61</v>
      </c>
      <c r="M58" t="str">
        <f>IF(B58="",$Z$18,B58)</f>
        <v>West</v>
      </c>
      <c r="N58" t="str">
        <f>IF(D58="",$Z$19,D58)</f>
        <v>Food</v>
      </c>
      <c r="O58">
        <f>IF(H58="",$Y$24,H58)</f>
        <v>313</v>
      </c>
      <c r="P58">
        <f>IF(I58="",$Z$24,I58)</f>
        <v>145.51</v>
      </c>
      <c r="Q58">
        <f t="shared" si="2"/>
        <v>45544.63</v>
      </c>
      <c r="R58">
        <f t="shared" si="3"/>
        <v>-525.84000000000378</v>
      </c>
    </row>
    <row r="59" spans="1:18">
      <c r="A59" s="3" t="s">
        <v>104</v>
      </c>
      <c r="B59" s="4" t="s">
        <v>3</v>
      </c>
      <c r="C59" s="4" t="s">
        <v>46</v>
      </c>
      <c r="D59" s="4" t="s">
        <v>13</v>
      </c>
      <c r="E59" s="4" t="s">
        <v>32</v>
      </c>
      <c r="F59" s="4" t="s">
        <v>41</v>
      </c>
      <c r="G59" s="5">
        <v>44984</v>
      </c>
      <c r="H59" s="4">
        <v>178</v>
      </c>
      <c r="I59" s="4">
        <v>182.78</v>
      </c>
      <c r="J59" s="6">
        <v>155.81</v>
      </c>
      <c r="K59">
        <f t="shared" si="0"/>
        <v>78</v>
      </c>
      <c r="L59">
        <f t="shared" si="1"/>
        <v>69</v>
      </c>
      <c r="M59" t="str">
        <f>IF(B59="",$Z$18,B59)</f>
        <v>North</v>
      </c>
      <c r="N59" t="str">
        <f>IF(D59="",$Z$19,D59)</f>
        <v>Furniture</v>
      </c>
      <c r="O59">
        <f>IF(H59="",$Y$24,H59)</f>
        <v>178</v>
      </c>
      <c r="P59">
        <f>IF(I59="",$Z$24,I59)</f>
        <v>182.78</v>
      </c>
      <c r="Q59">
        <f t="shared" si="2"/>
        <v>32534.84</v>
      </c>
      <c r="R59">
        <f t="shared" si="3"/>
        <v>4800.66</v>
      </c>
    </row>
    <row r="60" spans="1:18">
      <c r="A60" s="3" t="s">
        <v>105</v>
      </c>
      <c r="B60" s="4" t="s">
        <v>2</v>
      </c>
      <c r="C60" s="4" t="s">
        <v>46</v>
      </c>
      <c r="D60" s="4" t="s">
        <v>13</v>
      </c>
      <c r="E60" s="4" t="s">
        <v>32</v>
      </c>
      <c r="F60" s="4" t="s">
        <v>33</v>
      </c>
      <c r="G60" s="5">
        <v>44985</v>
      </c>
      <c r="H60" s="4">
        <v>278</v>
      </c>
      <c r="I60" s="4">
        <v>195</v>
      </c>
      <c r="J60" s="6">
        <v>226.65</v>
      </c>
      <c r="K60">
        <f t="shared" si="0"/>
        <v>91</v>
      </c>
      <c r="L60">
        <f t="shared" si="1"/>
        <v>69</v>
      </c>
      <c r="M60" t="str">
        <f>IF(B60="",$Z$18,B60)</f>
        <v>East</v>
      </c>
      <c r="N60" t="str">
        <f>IF(D60="",$Z$19,D60)</f>
        <v>Furniture</v>
      </c>
      <c r="O60">
        <f>IF(H60="",$Y$24,H60)</f>
        <v>278</v>
      </c>
      <c r="P60">
        <f>IF(I60="",$Z$24,I60)</f>
        <v>195</v>
      </c>
      <c r="Q60">
        <f t="shared" si="2"/>
        <v>54210</v>
      </c>
      <c r="R60">
        <f t="shared" si="3"/>
        <v>-8798.7000000000044</v>
      </c>
    </row>
    <row r="61" spans="1:18">
      <c r="A61" s="3" t="s">
        <v>106</v>
      </c>
      <c r="B61" s="4" t="s">
        <v>3</v>
      </c>
      <c r="C61" s="4" t="s">
        <v>65</v>
      </c>
      <c r="D61" s="4" t="s">
        <v>12</v>
      </c>
      <c r="E61" s="4" t="s">
        <v>32</v>
      </c>
      <c r="F61" s="4" t="s">
        <v>41</v>
      </c>
      <c r="G61" s="5">
        <v>44986</v>
      </c>
      <c r="H61" s="4">
        <v>372</v>
      </c>
      <c r="I61" s="4">
        <v>235.58</v>
      </c>
      <c r="J61" s="6">
        <v>78.33</v>
      </c>
      <c r="K61">
        <f t="shared" si="0"/>
        <v>78</v>
      </c>
      <c r="L61">
        <f t="shared" si="1"/>
        <v>61</v>
      </c>
      <c r="M61" t="str">
        <f>IF(B61="",$Z$18,B61)</f>
        <v>North</v>
      </c>
      <c r="N61" t="str">
        <f>IF(D61="",$Z$19,D61)</f>
        <v>Food</v>
      </c>
      <c r="O61">
        <f>IF(H61="",$Y$24,H61)</f>
        <v>372</v>
      </c>
      <c r="P61">
        <f>IF(I61="",$Z$24,I61)</f>
        <v>235.58</v>
      </c>
      <c r="Q61">
        <f t="shared" si="2"/>
        <v>87635.760000000009</v>
      </c>
      <c r="R61">
        <f t="shared" si="3"/>
        <v>58497.000000000015</v>
      </c>
    </row>
    <row r="62" spans="1:18">
      <c r="A62" s="3" t="s">
        <v>107</v>
      </c>
      <c r="B62" s="4" t="s">
        <v>2</v>
      </c>
      <c r="C62" s="4" t="s">
        <v>46</v>
      </c>
      <c r="D62" s="4" t="s">
        <v>13</v>
      </c>
      <c r="E62" s="4" t="s">
        <v>38</v>
      </c>
      <c r="F62" s="4" t="s">
        <v>41</v>
      </c>
      <c r="G62" s="5">
        <v>44987</v>
      </c>
      <c r="H62" s="4">
        <v>54</v>
      </c>
      <c r="I62" s="4">
        <v>418.82</v>
      </c>
      <c r="J62" s="6">
        <v>86.28</v>
      </c>
      <c r="K62">
        <f t="shared" si="0"/>
        <v>91</v>
      </c>
      <c r="L62">
        <f t="shared" si="1"/>
        <v>69</v>
      </c>
      <c r="M62" t="str">
        <f>IF(B62="",$Z$18,B62)</f>
        <v>East</v>
      </c>
      <c r="N62" t="str">
        <f>IF(D62="",$Z$19,D62)</f>
        <v>Furniture</v>
      </c>
      <c r="O62">
        <f>IF(H62="",$Y$24,H62)</f>
        <v>54</v>
      </c>
      <c r="P62">
        <f>IF(I62="",$Z$24,I62)</f>
        <v>418.82</v>
      </c>
      <c r="Q62">
        <f t="shared" si="2"/>
        <v>22616.28</v>
      </c>
      <c r="R62">
        <f t="shared" si="3"/>
        <v>17957.16</v>
      </c>
    </row>
    <row r="63" spans="1:18">
      <c r="A63" s="3" t="s">
        <v>108</v>
      </c>
      <c r="B63" s="4" t="s">
        <v>2</v>
      </c>
      <c r="C63" s="4" t="s">
        <v>46</v>
      </c>
      <c r="D63" s="4" t="s">
        <v>12</v>
      </c>
      <c r="E63" s="4" t="s">
        <v>38</v>
      </c>
      <c r="F63" s="4" t="s">
        <v>33</v>
      </c>
      <c r="G63" s="5">
        <v>44988</v>
      </c>
      <c r="H63" s="4">
        <v>354</v>
      </c>
      <c r="I63" s="4">
        <v>121.72</v>
      </c>
      <c r="J63" s="6">
        <v>194.87</v>
      </c>
      <c r="K63">
        <f t="shared" si="0"/>
        <v>91</v>
      </c>
      <c r="L63">
        <f t="shared" si="1"/>
        <v>61</v>
      </c>
      <c r="M63" t="str">
        <f>IF(B63="",$Z$18,B63)</f>
        <v>East</v>
      </c>
      <c r="N63" t="str">
        <f>IF(D63="",$Z$19,D63)</f>
        <v>Food</v>
      </c>
      <c r="O63">
        <f>IF(H63="",$Y$24,H63)</f>
        <v>354</v>
      </c>
      <c r="P63">
        <f>IF(I63="",$Z$24,I63)</f>
        <v>121.72</v>
      </c>
      <c r="Q63">
        <f t="shared" si="2"/>
        <v>43088.88</v>
      </c>
      <c r="R63">
        <f t="shared" si="3"/>
        <v>-25895.1</v>
      </c>
    </row>
    <row r="64" spans="1:18">
      <c r="A64" s="3" t="s">
        <v>109</v>
      </c>
      <c r="B64" s="4" t="s">
        <v>3</v>
      </c>
      <c r="C64" s="4" t="s">
        <v>46</v>
      </c>
      <c r="D64" s="4" t="s">
        <v>12</v>
      </c>
      <c r="E64" s="4" t="s">
        <v>32</v>
      </c>
      <c r="F64" s="4" t="s">
        <v>33</v>
      </c>
      <c r="G64" s="5">
        <v>44989</v>
      </c>
      <c r="H64" s="4">
        <v>190</v>
      </c>
      <c r="I64" s="4">
        <v>389.12</v>
      </c>
      <c r="J64" s="6">
        <v>302.19</v>
      </c>
      <c r="K64">
        <f t="shared" si="0"/>
        <v>78</v>
      </c>
      <c r="L64">
        <f t="shared" si="1"/>
        <v>61</v>
      </c>
      <c r="M64" t="str">
        <f>IF(B64="",$Z$18,B64)</f>
        <v>North</v>
      </c>
      <c r="N64" t="str">
        <f>IF(D64="",$Z$19,D64)</f>
        <v>Food</v>
      </c>
      <c r="O64">
        <f>IF(H64="",$Y$24,H64)</f>
        <v>190</v>
      </c>
      <c r="P64">
        <f>IF(I64="",$Z$24,I64)</f>
        <v>389.12</v>
      </c>
      <c r="Q64">
        <f t="shared" si="2"/>
        <v>73932.800000000003</v>
      </c>
      <c r="R64">
        <f t="shared" si="3"/>
        <v>16516.700000000004</v>
      </c>
    </row>
    <row r="65" spans="1:18">
      <c r="A65" s="3" t="s">
        <v>110</v>
      </c>
      <c r="B65" s="4" t="s">
        <v>5</v>
      </c>
      <c r="C65" s="4" t="s">
        <v>40</v>
      </c>
      <c r="D65" s="4" t="s">
        <v>9</v>
      </c>
      <c r="E65" s="4" t="s">
        <v>32</v>
      </c>
      <c r="F65" s="4" t="s">
        <v>33</v>
      </c>
      <c r="G65" s="5">
        <v>44990</v>
      </c>
      <c r="H65" s="4">
        <v>179</v>
      </c>
      <c r="I65" s="4">
        <v>205.63</v>
      </c>
      <c r="J65" s="6">
        <v>248.56</v>
      </c>
      <c r="K65">
        <f t="shared" si="0"/>
        <v>106</v>
      </c>
      <c r="L65">
        <f t="shared" si="1"/>
        <v>83</v>
      </c>
      <c r="M65" t="str">
        <f>IF(B65="",$Z$18,B65)</f>
        <v>West</v>
      </c>
      <c r="N65" t="str">
        <f>IF(D65="",$Z$19,D65)</f>
        <v>Beverages</v>
      </c>
      <c r="O65">
        <f>IF(H65="",$Y$24,H65)</f>
        <v>179</v>
      </c>
      <c r="P65">
        <f>IF(I65="",$Z$24,I65)</f>
        <v>205.63</v>
      </c>
      <c r="Q65">
        <f t="shared" si="2"/>
        <v>36807.769999999997</v>
      </c>
      <c r="R65">
        <f t="shared" si="3"/>
        <v>-7684.4700000000012</v>
      </c>
    </row>
    <row r="66" spans="1:18">
      <c r="A66" s="3" t="s">
        <v>111</v>
      </c>
      <c r="B66" s="4" t="s">
        <v>2</v>
      </c>
      <c r="C66" s="4" t="s">
        <v>65</v>
      </c>
      <c r="D66" s="4" t="s">
        <v>11</v>
      </c>
      <c r="E66" s="4" t="s">
        <v>38</v>
      </c>
      <c r="F66" s="4" t="s">
        <v>41</v>
      </c>
      <c r="G66" s="5">
        <v>44991</v>
      </c>
      <c r="H66" s="4">
        <v>365</v>
      </c>
      <c r="I66" s="4">
        <v>302.92</v>
      </c>
      <c r="J66" s="6">
        <v>120.35</v>
      </c>
      <c r="K66">
        <f t="shared" si="0"/>
        <v>91</v>
      </c>
      <c r="L66">
        <f t="shared" si="1"/>
        <v>70</v>
      </c>
      <c r="M66" t="str">
        <f>IF(B66="",$Z$18,B66)</f>
        <v>East</v>
      </c>
      <c r="N66" t="str">
        <f>IF(D66="",$Z$19,D66)</f>
        <v>Electronics</v>
      </c>
      <c r="O66">
        <f>IF(H66="",$Y$24,H66)</f>
        <v>365</v>
      </c>
      <c r="P66">
        <f>IF(I66="",$Z$24,I66)</f>
        <v>302.92</v>
      </c>
      <c r="Q66">
        <f t="shared" si="2"/>
        <v>110565.8</v>
      </c>
      <c r="R66">
        <f t="shared" si="3"/>
        <v>66638.05</v>
      </c>
    </row>
    <row r="67" spans="1:18">
      <c r="A67" s="3" t="s">
        <v>112</v>
      </c>
      <c r="B67" s="4" t="s">
        <v>4</v>
      </c>
      <c r="C67" s="4" t="s">
        <v>35</v>
      </c>
      <c r="D67" s="4" t="s">
        <v>12</v>
      </c>
      <c r="E67" s="4" t="s">
        <v>32</v>
      </c>
      <c r="F67" s="4" t="s">
        <v>41</v>
      </c>
      <c r="G67" s="5">
        <v>44992</v>
      </c>
      <c r="H67" s="4">
        <v>200</v>
      </c>
      <c r="I67" s="4">
        <v>318.11</v>
      </c>
      <c r="J67" s="6">
        <v>173.27</v>
      </c>
      <c r="K67">
        <f t="shared" ref="K67:K130" si="4">IF(B67="",0,COUNTIF($B$2:$B$351,B67))</f>
        <v>75</v>
      </c>
      <c r="L67">
        <f t="shared" ref="L67:L130" si="5">IF(D67="",0,COUNTIF($D$2:$D$351,D67))</f>
        <v>61</v>
      </c>
      <c r="M67" t="str">
        <f>IF(B67="",$Z$18,B67)</f>
        <v>South</v>
      </c>
      <c r="N67" t="str">
        <f>IF(D67="",$Z$19,D67)</f>
        <v>Food</v>
      </c>
      <c r="O67">
        <f>IF(H67="",$Y$24,H67)</f>
        <v>200</v>
      </c>
      <c r="P67">
        <f>IF(I67="",$Z$24,I67)</f>
        <v>318.11</v>
      </c>
      <c r="Q67">
        <f t="shared" ref="Q67:Q130" si="6">H67*I67</f>
        <v>63622</v>
      </c>
      <c r="R67">
        <f t="shared" ref="R67:R130" si="7">Q67-(H67*J67)</f>
        <v>28968</v>
      </c>
    </row>
    <row r="68" spans="1:18">
      <c r="A68" s="3" t="s">
        <v>113</v>
      </c>
      <c r="B68" s="4" t="s">
        <v>5</v>
      </c>
      <c r="C68" s="4" t="s">
        <v>31</v>
      </c>
      <c r="D68" s="4" t="s">
        <v>10</v>
      </c>
      <c r="E68" s="4" t="s">
        <v>38</v>
      </c>
      <c r="F68" s="4" t="s">
        <v>36</v>
      </c>
      <c r="G68" s="5">
        <v>44993</v>
      </c>
      <c r="H68" s="4">
        <v>164</v>
      </c>
      <c r="I68" s="4">
        <v>189.56</v>
      </c>
      <c r="J68" s="6">
        <v>69.92</v>
      </c>
      <c r="K68">
        <f t="shared" si="4"/>
        <v>106</v>
      </c>
      <c r="L68">
        <f t="shared" si="5"/>
        <v>67</v>
      </c>
      <c r="M68" t="str">
        <f>IF(B68="",$Z$18,B68)</f>
        <v>West</v>
      </c>
      <c r="N68" t="str">
        <f>IF(D68="",$Z$19,D68)</f>
        <v>Clothing</v>
      </c>
      <c r="O68">
        <f>IF(H68="",$Y$24,H68)</f>
        <v>164</v>
      </c>
      <c r="P68">
        <f>IF(I68="",$Z$24,I68)</f>
        <v>189.56</v>
      </c>
      <c r="Q68">
        <f t="shared" si="6"/>
        <v>31087.84</v>
      </c>
      <c r="R68">
        <f t="shared" si="7"/>
        <v>19620.96</v>
      </c>
    </row>
    <row r="69" spans="1:18">
      <c r="A69" s="3" t="s">
        <v>114</v>
      </c>
      <c r="B69" s="4" t="s">
        <v>3</v>
      </c>
      <c r="C69" s="4" t="s">
        <v>35</v>
      </c>
      <c r="D69" s="4" t="s">
        <v>11</v>
      </c>
      <c r="E69" s="4" t="s">
        <v>32</v>
      </c>
      <c r="F69" s="4" t="s">
        <v>33</v>
      </c>
      <c r="G69" s="5">
        <v>44994</v>
      </c>
      <c r="H69" s="4">
        <v>431</v>
      </c>
      <c r="I69" s="4">
        <v>258.74</v>
      </c>
      <c r="J69" s="6">
        <v>31.7</v>
      </c>
      <c r="K69">
        <f t="shared" si="4"/>
        <v>78</v>
      </c>
      <c r="L69">
        <f t="shared" si="5"/>
        <v>70</v>
      </c>
      <c r="M69" t="str">
        <f>IF(B69="",$Z$18,B69)</f>
        <v>North</v>
      </c>
      <c r="N69" t="str">
        <f>IF(D69="",$Z$19,D69)</f>
        <v>Electronics</v>
      </c>
      <c r="O69">
        <f>IF(H69="",$Y$24,H69)</f>
        <v>431</v>
      </c>
      <c r="P69">
        <f>IF(I69="",$Z$24,I69)</f>
        <v>258.74</v>
      </c>
      <c r="Q69">
        <f t="shared" si="6"/>
        <v>111516.94</v>
      </c>
      <c r="R69">
        <f t="shared" si="7"/>
        <v>97854.24</v>
      </c>
    </row>
    <row r="70" spans="1:18">
      <c r="A70" s="3" t="s">
        <v>115</v>
      </c>
      <c r="B70" s="4" t="s">
        <v>5</v>
      </c>
      <c r="C70" s="4" t="s">
        <v>65</v>
      </c>
      <c r="D70" s="4" t="s">
        <v>11</v>
      </c>
      <c r="E70" s="4" t="s">
        <v>32</v>
      </c>
      <c r="F70" s="4" t="s">
        <v>41</v>
      </c>
      <c r="G70" s="5">
        <v>44995</v>
      </c>
      <c r="H70" s="4">
        <v>197</v>
      </c>
      <c r="I70" s="4">
        <v>209.45</v>
      </c>
      <c r="J70" s="6">
        <v>313.51</v>
      </c>
      <c r="K70">
        <f t="shared" si="4"/>
        <v>106</v>
      </c>
      <c r="L70">
        <f t="shared" si="5"/>
        <v>70</v>
      </c>
      <c r="M70" t="str">
        <f>IF(B70="",$Z$18,B70)</f>
        <v>West</v>
      </c>
      <c r="N70" t="str">
        <f>IF(D70="",$Z$19,D70)</f>
        <v>Electronics</v>
      </c>
      <c r="O70">
        <f>IF(H70="",$Y$24,H70)</f>
        <v>197</v>
      </c>
      <c r="P70">
        <f>IF(I70="",$Z$24,I70)</f>
        <v>209.45</v>
      </c>
      <c r="Q70">
        <f t="shared" si="6"/>
        <v>41261.649999999994</v>
      </c>
      <c r="R70">
        <f t="shared" si="7"/>
        <v>-20499.820000000007</v>
      </c>
    </row>
    <row r="71" spans="1:18">
      <c r="A71" s="3" t="s">
        <v>116</v>
      </c>
      <c r="B71" s="4" t="s">
        <v>4</v>
      </c>
      <c r="C71" s="4" t="s">
        <v>31</v>
      </c>
      <c r="D71" s="4" t="s">
        <v>11</v>
      </c>
      <c r="E71" s="4" t="s">
        <v>32</v>
      </c>
      <c r="F71" s="4" t="s">
        <v>41</v>
      </c>
      <c r="G71" s="5">
        <v>44996</v>
      </c>
      <c r="H71" s="4">
        <v>16</v>
      </c>
      <c r="I71" s="4">
        <v>39.22</v>
      </c>
      <c r="J71" s="6">
        <v>107.62</v>
      </c>
      <c r="K71">
        <f t="shared" si="4"/>
        <v>75</v>
      </c>
      <c r="L71">
        <f t="shared" si="5"/>
        <v>70</v>
      </c>
      <c r="M71" t="str">
        <f>IF(B71="",$Z$18,B71)</f>
        <v>South</v>
      </c>
      <c r="N71" t="str">
        <f>IF(D71="",$Z$19,D71)</f>
        <v>Electronics</v>
      </c>
      <c r="O71">
        <f>IF(H71="",$Y$24,H71)</f>
        <v>16</v>
      </c>
      <c r="P71">
        <f>IF(I71="",$Z$24,I71)</f>
        <v>39.22</v>
      </c>
      <c r="Q71">
        <f t="shared" si="6"/>
        <v>627.52</v>
      </c>
      <c r="R71">
        <f t="shared" si="7"/>
        <v>-1094.4000000000001</v>
      </c>
    </row>
    <row r="72" spans="1:18">
      <c r="A72" s="3" t="s">
        <v>117</v>
      </c>
      <c r="B72" s="4" t="s">
        <v>4</v>
      </c>
      <c r="C72" s="4" t="s">
        <v>65</v>
      </c>
      <c r="D72" s="4" t="s">
        <v>9</v>
      </c>
      <c r="E72" s="4" t="s">
        <v>32</v>
      </c>
      <c r="F72" s="4" t="s">
        <v>33</v>
      </c>
      <c r="G72" s="5">
        <v>44997</v>
      </c>
      <c r="H72" s="4">
        <v>142</v>
      </c>
      <c r="I72" s="4">
        <v>221.4</v>
      </c>
      <c r="J72" s="6">
        <v>72.75</v>
      </c>
      <c r="K72">
        <f t="shared" si="4"/>
        <v>75</v>
      </c>
      <c r="L72">
        <f t="shared" si="5"/>
        <v>83</v>
      </c>
      <c r="M72" t="str">
        <f>IF(B72="",$Z$18,B72)</f>
        <v>South</v>
      </c>
      <c r="N72" t="str">
        <f>IF(D72="",$Z$19,D72)</f>
        <v>Beverages</v>
      </c>
      <c r="O72">
        <f>IF(H72="",$Y$24,H72)</f>
        <v>142</v>
      </c>
      <c r="P72">
        <f>IF(I72="",$Z$24,I72)</f>
        <v>221.4</v>
      </c>
      <c r="Q72">
        <f t="shared" si="6"/>
        <v>31438.799999999999</v>
      </c>
      <c r="R72">
        <f t="shared" si="7"/>
        <v>21108.3</v>
      </c>
    </row>
    <row r="73" spans="1:18">
      <c r="A73" s="3" t="s">
        <v>118</v>
      </c>
      <c r="B73" s="4" t="s">
        <v>4</v>
      </c>
      <c r="C73" s="4" t="s">
        <v>46</v>
      </c>
      <c r="D73" s="4" t="s">
        <v>12</v>
      </c>
      <c r="E73" s="4" t="s">
        <v>32</v>
      </c>
      <c r="F73" s="4" t="s">
        <v>36</v>
      </c>
      <c r="G73" s="5">
        <v>44998</v>
      </c>
      <c r="H73" s="4">
        <v>244</v>
      </c>
      <c r="I73" s="4">
        <v>53.21</v>
      </c>
      <c r="J73" s="6">
        <v>277.26</v>
      </c>
      <c r="K73">
        <f t="shared" si="4"/>
        <v>75</v>
      </c>
      <c r="L73">
        <f t="shared" si="5"/>
        <v>61</v>
      </c>
      <c r="M73" t="str">
        <f>IF(B73="",$Z$18,B73)</f>
        <v>South</v>
      </c>
      <c r="N73" t="str">
        <f>IF(D73="",$Z$19,D73)</f>
        <v>Food</v>
      </c>
      <c r="O73">
        <f>IF(H73="",$Y$24,H73)</f>
        <v>244</v>
      </c>
      <c r="P73">
        <f>IF(I73="",$Z$24,I73)</f>
        <v>53.21</v>
      </c>
      <c r="Q73">
        <f t="shared" si="6"/>
        <v>12983.24</v>
      </c>
      <c r="R73">
        <f t="shared" si="7"/>
        <v>-54668.200000000004</v>
      </c>
    </row>
    <row r="74" spans="1:18">
      <c r="A74" s="3" t="s">
        <v>119</v>
      </c>
      <c r="B74" s="4" t="s">
        <v>3</v>
      </c>
      <c r="C74" s="4" t="s">
        <v>31</v>
      </c>
      <c r="D74" s="4" t="s">
        <v>9</v>
      </c>
      <c r="E74" s="4" t="s">
        <v>32</v>
      </c>
      <c r="F74" s="4" t="s">
        <v>33</v>
      </c>
      <c r="G74" s="5">
        <v>44999</v>
      </c>
      <c r="H74" s="4">
        <v>54</v>
      </c>
      <c r="I74" s="4">
        <v>205.49</v>
      </c>
      <c r="J74" s="6">
        <v>247.98</v>
      </c>
      <c r="K74">
        <f t="shared" si="4"/>
        <v>78</v>
      </c>
      <c r="L74">
        <f t="shared" si="5"/>
        <v>83</v>
      </c>
      <c r="M74" t="str">
        <f>IF(B74="",$Z$18,B74)</f>
        <v>North</v>
      </c>
      <c r="N74" t="str">
        <f>IF(D74="",$Z$19,D74)</f>
        <v>Beverages</v>
      </c>
      <c r="O74">
        <f>IF(H74="",$Y$24,H74)</f>
        <v>54</v>
      </c>
      <c r="P74">
        <f>IF(I74="",$Z$24,I74)</f>
        <v>205.49</v>
      </c>
      <c r="Q74">
        <f t="shared" si="6"/>
        <v>11096.460000000001</v>
      </c>
      <c r="R74">
        <f t="shared" si="7"/>
        <v>-2294.4599999999991</v>
      </c>
    </row>
    <row r="75" spans="1:18">
      <c r="A75" s="3" t="s">
        <v>120</v>
      </c>
      <c r="B75" s="4" t="s">
        <v>4</v>
      </c>
      <c r="C75" s="4" t="s">
        <v>46</v>
      </c>
      <c r="D75" s="4" t="s">
        <v>12</v>
      </c>
      <c r="E75" s="4" t="s">
        <v>32</v>
      </c>
      <c r="F75" s="4" t="s">
        <v>36</v>
      </c>
      <c r="G75" s="5">
        <v>45000</v>
      </c>
      <c r="H75" s="4">
        <v>323</v>
      </c>
      <c r="I75" s="4">
        <v>298.49</v>
      </c>
      <c r="J75" s="6">
        <v>254.01</v>
      </c>
      <c r="K75">
        <f t="shared" si="4"/>
        <v>75</v>
      </c>
      <c r="L75">
        <f t="shared" si="5"/>
        <v>61</v>
      </c>
      <c r="M75" t="str">
        <f>IF(B75="",$Z$18,B75)</f>
        <v>South</v>
      </c>
      <c r="N75" t="str">
        <f>IF(D75="",$Z$19,D75)</f>
        <v>Food</v>
      </c>
      <c r="O75">
        <f>IF(H75="",$Y$24,H75)</f>
        <v>323</v>
      </c>
      <c r="P75">
        <f>IF(I75="",$Z$24,I75)</f>
        <v>298.49</v>
      </c>
      <c r="Q75">
        <f t="shared" si="6"/>
        <v>96412.27</v>
      </c>
      <c r="R75">
        <f t="shared" si="7"/>
        <v>14367.040000000008</v>
      </c>
    </row>
    <row r="76" spans="1:18">
      <c r="A76" s="3" t="s">
        <v>121</v>
      </c>
      <c r="B76" s="4" t="s">
        <v>3</v>
      </c>
      <c r="C76" s="4" t="s">
        <v>35</v>
      </c>
      <c r="D76" s="4" t="s">
        <v>9</v>
      </c>
      <c r="E76" s="4" t="s">
        <v>38</v>
      </c>
      <c r="F76" s="4" t="s">
        <v>41</v>
      </c>
      <c r="G76" s="5">
        <v>45001</v>
      </c>
      <c r="H76" s="4">
        <v>258</v>
      </c>
      <c r="I76" s="4">
        <v>291.81</v>
      </c>
      <c r="J76" s="6">
        <v>93.1</v>
      </c>
      <c r="K76">
        <f t="shared" si="4"/>
        <v>78</v>
      </c>
      <c r="L76">
        <f t="shared" si="5"/>
        <v>83</v>
      </c>
      <c r="M76" t="str">
        <f>IF(B76="",$Z$18,B76)</f>
        <v>North</v>
      </c>
      <c r="N76" t="str">
        <f>IF(D76="",$Z$19,D76)</f>
        <v>Beverages</v>
      </c>
      <c r="O76">
        <f>IF(H76="",$Y$24,H76)</f>
        <v>258</v>
      </c>
      <c r="P76">
        <f>IF(I76="",$Z$24,I76)</f>
        <v>291.81</v>
      </c>
      <c r="Q76">
        <f t="shared" si="6"/>
        <v>75286.98</v>
      </c>
      <c r="R76">
        <f t="shared" si="7"/>
        <v>51267.179999999993</v>
      </c>
    </row>
    <row r="77" spans="1:18">
      <c r="A77" s="3" t="s">
        <v>122</v>
      </c>
      <c r="B77" s="4" t="s">
        <v>4</v>
      </c>
      <c r="C77" s="4" t="s">
        <v>35</v>
      </c>
      <c r="D77" s="4" t="s">
        <v>9</v>
      </c>
      <c r="E77" s="4" t="s">
        <v>38</v>
      </c>
      <c r="F77" s="4" t="s">
        <v>36</v>
      </c>
      <c r="G77" s="5">
        <v>45002</v>
      </c>
      <c r="H77" s="4">
        <v>40</v>
      </c>
      <c r="I77" s="4">
        <v>333</v>
      </c>
      <c r="J77" s="6">
        <v>94.59</v>
      </c>
      <c r="K77">
        <f t="shared" si="4"/>
        <v>75</v>
      </c>
      <c r="L77">
        <f t="shared" si="5"/>
        <v>83</v>
      </c>
      <c r="M77" t="str">
        <f>IF(B77="",$Z$18,B77)</f>
        <v>South</v>
      </c>
      <c r="N77" t="str">
        <f>IF(D77="",$Z$19,D77)</f>
        <v>Beverages</v>
      </c>
      <c r="O77">
        <f>IF(H77="",$Y$24,H77)</f>
        <v>40</v>
      </c>
      <c r="P77">
        <f>IF(I77="",$Z$24,I77)</f>
        <v>333</v>
      </c>
      <c r="Q77">
        <f t="shared" si="6"/>
        <v>13320</v>
      </c>
      <c r="R77">
        <f t="shared" si="7"/>
        <v>9536.4</v>
      </c>
    </row>
    <row r="78" spans="1:18">
      <c r="A78" s="3" t="s">
        <v>123</v>
      </c>
      <c r="B78" s="4" t="s">
        <v>5</v>
      </c>
      <c r="C78" s="4" t="s">
        <v>31</v>
      </c>
      <c r="D78" s="4" t="s">
        <v>10</v>
      </c>
      <c r="E78" s="4" t="s">
        <v>38</v>
      </c>
      <c r="F78" s="4" t="s">
        <v>41</v>
      </c>
      <c r="G78" s="5">
        <v>45003</v>
      </c>
      <c r="H78" s="4">
        <v>32</v>
      </c>
      <c r="I78" s="4">
        <v>52.15</v>
      </c>
      <c r="J78" s="6">
        <v>89.88</v>
      </c>
      <c r="K78">
        <f t="shared" si="4"/>
        <v>106</v>
      </c>
      <c r="L78">
        <f t="shared" si="5"/>
        <v>67</v>
      </c>
      <c r="M78" t="str">
        <f>IF(B78="",$Z$18,B78)</f>
        <v>West</v>
      </c>
      <c r="N78" t="str">
        <f>IF(D78="",$Z$19,D78)</f>
        <v>Clothing</v>
      </c>
      <c r="O78">
        <f>IF(H78="",$Y$24,H78)</f>
        <v>32</v>
      </c>
      <c r="P78">
        <f>IF(I78="",$Z$24,I78)</f>
        <v>52.15</v>
      </c>
      <c r="Q78">
        <f t="shared" si="6"/>
        <v>1668.8</v>
      </c>
      <c r="R78">
        <f t="shared" si="7"/>
        <v>-1207.3599999999999</v>
      </c>
    </row>
    <row r="79" spans="1:18">
      <c r="A79" s="3" t="s">
        <v>124</v>
      </c>
      <c r="B79" s="4" t="s">
        <v>5</v>
      </c>
      <c r="C79" s="4" t="s">
        <v>31</v>
      </c>
      <c r="D79" s="4" t="s">
        <v>9</v>
      </c>
      <c r="E79" s="4" t="s">
        <v>38</v>
      </c>
      <c r="F79" s="4" t="s">
        <v>33</v>
      </c>
      <c r="G79" s="5">
        <v>45004</v>
      </c>
      <c r="H79" s="4">
        <v>435</v>
      </c>
      <c r="I79" s="4">
        <v>327.8</v>
      </c>
      <c r="J79" s="6">
        <v>71.150000000000006</v>
      </c>
      <c r="K79">
        <f t="shared" si="4"/>
        <v>106</v>
      </c>
      <c r="L79">
        <f t="shared" si="5"/>
        <v>83</v>
      </c>
      <c r="M79" t="str">
        <f>IF(B79="",$Z$18,B79)</f>
        <v>West</v>
      </c>
      <c r="N79" t="str">
        <f>IF(D79="",$Z$19,D79)</f>
        <v>Beverages</v>
      </c>
      <c r="O79">
        <f>IF(H79="",$Y$24,H79)</f>
        <v>435</v>
      </c>
      <c r="P79">
        <f>IF(I79="",$Z$24,I79)</f>
        <v>327.8</v>
      </c>
      <c r="Q79">
        <f t="shared" si="6"/>
        <v>142593</v>
      </c>
      <c r="R79">
        <f t="shared" si="7"/>
        <v>111642.75</v>
      </c>
    </row>
    <row r="80" spans="1:18">
      <c r="A80" s="3" t="s">
        <v>125</v>
      </c>
      <c r="B80" s="4" t="s">
        <v>2</v>
      </c>
      <c r="C80" s="4" t="s">
        <v>65</v>
      </c>
      <c r="D80" s="4" t="s">
        <v>13</v>
      </c>
      <c r="E80" s="4" t="s">
        <v>38</v>
      </c>
      <c r="F80" s="4" t="s">
        <v>33</v>
      </c>
      <c r="G80" s="5">
        <v>45005</v>
      </c>
      <c r="H80" s="4">
        <v>403</v>
      </c>
      <c r="I80" s="4">
        <v>159.51</v>
      </c>
      <c r="J80" s="6">
        <v>262.98</v>
      </c>
      <c r="K80">
        <f t="shared" si="4"/>
        <v>91</v>
      </c>
      <c r="L80">
        <f t="shared" si="5"/>
        <v>69</v>
      </c>
      <c r="M80" t="str">
        <f>IF(B80="",$Z$18,B80)</f>
        <v>East</v>
      </c>
      <c r="N80" t="str">
        <f>IF(D80="",$Z$19,D80)</f>
        <v>Furniture</v>
      </c>
      <c r="O80">
        <f>IF(H80="",$Y$24,H80)</f>
        <v>403</v>
      </c>
      <c r="P80">
        <f>IF(I80="",$Z$24,I80)</f>
        <v>159.51</v>
      </c>
      <c r="Q80">
        <f t="shared" si="6"/>
        <v>64282.53</v>
      </c>
      <c r="R80">
        <f t="shared" si="7"/>
        <v>-41698.410000000003</v>
      </c>
    </row>
    <row r="81" spans="1:18">
      <c r="A81" s="3" t="s">
        <v>126</v>
      </c>
      <c r="B81" s="4" t="s">
        <v>5</v>
      </c>
      <c r="C81" s="4" t="s">
        <v>65</v>
      </c>
      <c r="D81" s="4" t="s">
        <v>10</v>
      </c>
      <c r="E81" s="4" t="s">
        <v>32</v>
      </c>
      <c r="F81" s="4" t="s">
        <v>33</v>
      </c>
      <c r="G81" s="5">
        <v>45006</v>
      </c>
      <c r="H81" s="4">
        <v>169</v>
      </c>
      <c r="I81" s="4">
        <v>249.64520588235297</v>
      </c>
      <c r="J81" s="6">
        <v>339.51</v>
      </c>
      <c r="K81">
        <f t="shared" si="4"/>
        <v>106</v>
      </c>
      <c r="L81">
        <f t="shared" si="5"/>
        <v>67</v>
      </c>
      <c r="M81" t="str">
        <f>IF(B81="",$Z$18,B81)</f>
        <v>West</v>
      </c>
      <c r="N81" t="str">
        <f>IF(D81="",$Z$19,D81)</f>
        <v>Clothing</v>
      </c>
      <c r="O81">
        <f>IF(H81="",$Y$24,H81)</f>
        <v>169</v>
      </c>
      <c r="P81">
        <f>IF(I81="",$Z$24,I81)</f>
        <v>249.64520588235297</v>
      </c>
      <c r="Q81">
        <f t="shared" si="6"/>
        <v>42190.039794117649</v>
      </c>
      <c r="R81">
        <f t="shared" si="7"/>
        <v>-15187.150205882346</v>
      </c>
    </row>
    <row r="82" spans="1:18">
      <c r="A82" s="3" t="s">
        <v>127</v>
      </c>
      <c r="B82" s="4" t="s">
        <v>2</v>
      </c>
      <c r="C82" s="4" t="s">
        <v>46</v>
      </c>
      <c r="D82" s="4" t="s">
        <v>9</v>
      </c>
      <c r="E82" s="4" t="s">
        <v>32</v>
      </c>
      <c r="F82" s="4" t="s">
        <v>36</v>
      </c>
      <c r="G82" s="5">
        <v>45007</v>
      </c>
      <c r="H82" s="4">
        <v>372</v>
      </c>
      <c r="I82" s="4">
        <v>429.7</v>
      </c>
      <c r="J82" s="6">
        <v>290.27999999999997</v>
      </c>
      <c r="K82">
        <f t="shared" si="4"/>
        <v>91</v>
      </c>
      <c r="L82">
        <f t="shared" si="5"/>
        <v>83</v>
      </c>
      <c r="M82" t="str">
        <f>IF(B82="",$Z$18,B82)</f>
        <v>East</v>
      </c>
      <c r="N82" t="str">
        <f>IF(D82="",$Z$19,D82)</f>
        <v>Beverages</v>
      </c>
      <c r="O82">
        <f>IF(H82="",$Y$24,H82)</f>
        <v>372</v>
      </c>
      <c r="P82">
        <f>IF(I82="",$Z$24,I82)</f>
        <v>429.7</v>
      </c>
      <c r="Q82">
        <f t="shared" si="6"/>
        <v>159848.4</v>
      </c>
      <c r="R82">
        <f t="shared" si="7"/>
        <v>51864.240000000005</v>
      </c>
    </row>
    <row r="83" spans="1:18">
      <c r="A83" s="3" t="s">
        <v>128</v>
      </c>
      <c r="B83" s="4" t="s">
        <v>5</v>
      </c>
      <c r="C83" s="4" t="s">
        <v>31</v>
      </c>
      <c r="D83" s="4" t="s">
        <v>11</v>
      </c>
      <c r="E83" s="4" t="s">
        <v>38</v>
      </c>
      <c r="F83" s="4" t="s">
        <v>41</v>
      </c>
      <c r="G83" s="5">
        <v>45008</v>
      </c>
      <c r="H83" s="4">
        <v>446</v>
      </c>
      <c r="I83" s="4">
        <v>9.4700000000000006</v>
      </c>
      <c r="J83" s="6">
        <v>317.25</v>
      </c>
      <c r="K83">
        <f t="shared" si="4"/>
        <v>106</v>
      </c>
      <c r="L83">
        <f t="shared" si="5"/>
        <v>70</v>
      </c>
      <c r="M83" t="str">
        <f>IF(B83="",$Z$18,B83)</f>
        <v>West</v>
      </c>
      <c r="N83" t="str">
        <f>IF(D83="",$Z$19,D83)</f>
        <v>Electronics</v>
      </c>
      <c r="O83">
        <f>IF(H83="",$Y$24,H83)</f>
        <v>446</v>
      </c>
      <c r="P83">
        <f>IF(I83="",$Z$24,I83)</f>
        <v>9.4700000000000006</v>
      </c>
      <c r="Q83">
        <f t="shared" si="6"/>
        <v>4223.62</v>
      </c>
      <c r="R83">
        <f t="shared" si="7"/>
        <v>-137269.88</v>
      </c>
    </row>
    <row r="84" spans="1:18">
      <c r="A84" s="3" t="s">
        <v>129</v>
      </c>
      <c r="B84" s="4" t="s">
        <v>3</v>
      </c>
      <c r="C84" s="4" t="s">
        <v>35</v>
      </c>
      <c r="D84" s="4" t="s">
        <v>13</v>
      </c>
      <c r="E84" s="4" t="s">
        <v>32</v>
      </c>
      <c r="F84" s="4" t="s">
        <v>33</v>
      </c>
      <c r="G84" s="5">
        <v>45009</v>
      </c>
      <c r="H84" s="4">
        <v>167</v>
      </c>
      <c r="I84" s="4">
        <v>296.26</v>
      </c>
      <c r="J84" s="6">
        <v>163.11000000000001</v>
      </c>
      <c r="K84">
        <f t="shared" si="4"/>
        <v>78</v>
      </c>
      <c r="L84">
        <f t="shared" si="5"/>
        <v>69</v>
      </c>
      <c r="M84" t="str">
        <f>IF(B84="",$Z$18,B84)</f>
        <v>North</v>
      </c>
      <c r="N84" t="str">
        <f>IF(D84="",$Z$19,D84)</f>
        <v>Furniture</v>
      </c>
      <c r="O84">
        <f>IF(H84="",$Y$24,H84)</f>
        <v>167</v>
      </c>
      <c r="P84">
        <f>IF(I84="",$Z$24,I84)</f>
        <v>296.26</v>
      </c>
      <c r="Q84">
        <f t="shared" si="6"/>
        <v>49475.42</v>
      </c>
      <c r="R84">
        <f t="shared" si="7"/>
        <v>22236.049999999996</v>
      </c>
    </row>
    <row r="85" spans="1:18">
      <c r="A85" s="3" t="s">
        <v>130</v>
      </c>
      <c r="B85" s="4" t="s">
        <v>5</v>
      </c>
      <c r="C85" s="4" t="s">
        <v>65</v>
      </c>
      <c r="D85" s="4" t="s">
        <v>13</v>
      </c>
      <c r="E85" s="4" t="s">
        <v>38</v>
      </c>
      <c r="F85" s="4" t="s">
        <v>33</v>
      </c>
      <c r="G85" s="5">
        <v>45010</v>
      </c>
      <c r="H85" s="4">
        <v>48</v>
      </c>
      <c r="I85" s="4">
        <v>301.36</v>
      </c>
      <c r="J85" s="6">
        <v>262.32</v>
      </c>
      <c r="K85">
        <f t="shared" si="4"/>
        <v>106</v>
      </c>
      <c r="L85">
        <f t="shared" si="5"/>
        <v>69</v>
      </c>
      <c r="M85" t="str">
        <f>IF(B85="",$Z$18,B85)</f>
        <v>West</v>
      </c>
      <c r="N85" t="str">
        <f>IF(D85="",$Z$19,D85)</f>
        <v>Furniture</v>
      </c>
      <c r="O85">
        <f>IF(H85="",$Y$24,H85)</f>
        <v>48</v>
      </c>
      <c r="P85">
        <f>IF(I85="",$Z$24,I85)</f>
        <v>301.36</v>
      </c>
      <c r="Q85">
        <f t="shared" si="6"/>
        <v>14465.28</v>
      </c>
      <c r="R85">
        <f t="shared" si="7"/>
        <v>1873.92</v>
      </c>
    </row>
    <row r="86" spans="1:18">
      <c r="A86" s="3" t="s">
        <v>131</v>
      </c>
      <c r="B86" s="4" t="s">
        <v>2</v>
      </c>
      <c r="C86" s="4" t="s">
        <v>65</v>
      </c>
      <c r="D86" s="4" t="s">
        <v>13</v>
      </c>
      <c r="E86" s="4" t="s">
        <v>38</v>
      </c>
      <c r="F86" s="4" t="s">
        <v>41</v>
      </c>
      <c r="G86" s="5">
        <v>45011</v>
      </c>
      <c r="H86" s="4">
        <v>424</v>
      </c>
      <c r="I86" s="4">
        <v>201.35</v>
      </c>
      <c r="J86" s="6">
        <v>142.99</v>
      </c>
      <c r="K86">
        <f t="shared" si="4"/>
        <v>91</v>
      </c>
      <c r="L86">
        <f t="shared" si="5"/>
        <v>69</v>
      </c>
      <c r="M86" t="str">
        <f>IF(B86="",$Z$18,B86)</f>
        <v>East</v>
      </c>
      <c r="N86" t="str">
        <f>IF(D86="",$Z$19,D86)</f>
        <v>Furniture</v>
      </c>
      <c r="O86">
        <f>IF(H86="",$Y$24,H86)</f>
        <v>424</v>
      </c>
      <c r="P86">
        <f>IF(I86="",$Z$24,I86)</f>
        <v>201.35</v>
      </c>
      <c r="Q86">
        <f t="shared" si="6"/>
        <v>85372.4</v>
      </c>
      <c r="R86">
        <f t="shared" si="7"/>
        <v>24744.639999999992</v>
      </c>
    </row>
    <row r="87" spans="1:18">
      <c r="A87" s="3" t="s">
        <v>132</v>
      </c>
      <c r="B87" s="4" t="s">
        <v>2</v>
      </c>
      <c r="C87" s="4" t="s">
        <v>35</v>
      </c>
      <c r="D87" s="4" t="s">
        <v>10</v>
      </c>
      <c r="E87" s="4" t="s">
        <v>32</v>
      </c>
      <c r="F87" s="4" t="s">
        <v>33</v>
      </c>
      <c r="G87" s="5">
        <v>45012</v>
      </c>
      <c r="H87" s="4">
        <v>91</v>
      </c>
      <c r="I87" s="4">
        <v>122.33</v>
      </c>
      <c r="J87" s="6">
        <v>211.15</v>
      </c>
      <c r="K87">
        <f t="shared" si="4"/>
        <v>91</v>
      </c>
      <c r="L87">
        <f t="shared" si="5"/>
        <v>67</v>
      </c>
      <c r="M87" t="str">
        <f>IF(B87="",$Z$18,B87)</f>
        <v>East</v>
      </c>
      <c r="N87" t="str">
        <f>IF(D87="",$Z$19,D87)</f>
        <v>Clothing</v>
      </c>
      <c r="O87">
        <f>IF(H87="",$Y$24,H87)</f>
        <v>91</v>
      </c>
      <c r="P87">
        <f>IF(I87="",$Z$24,I87)</f>
        <v>122.33</v>
      </c>
      <c r="Q87">
        <f t="shared" si="6"/>
        <v>11132.03</v>
      </c>
      <c r="R87">
        <f t="shared" si="7"/>
        <v>-8082.6200000000008</v>
      </c>
    </row>
    <row r="88" spans="1:18">
      <c r="A88" s="3" t="s">
        <v>133</v>
      </c>
      <c r="B88" s="4" t="s">
        <v>4</v>
      </c>
      <c r="C88" s="4" t="s">
        <v>65</v>
      </c>
      <c r="D88" s="4" t="s">
        <v>9</v>
      </c>
      <c r="E88" s="4" t="s">
        <v>32</v>
      </c>
      <c r="F88" s="4" t="s">
        <v>41</v>
      </c>
      <c r="G88" s="5">
        <v>45013</v>
      </c>
      <c r="H88" s="4">
        <v>365</v>
      </c>
      <c r="I88" s="4">
        <v>121.16</v>
      </c>
      <c r="J88" s="6">
        <v>193.69</v>
      </c>
      <c r="K88">
        <f t="shared" si="4"/>
        <v>75</v>
      </c>
      <c r="L88">
        <f t="shared" si="5"/>
        <v>83</v>
      </c>
      <c r="M88" t="str">
        <f>IF(B88="",$Z$18,B88)</f>
        <v>South</v>
      </c>
      <c r="N88" t="str">
        <f>IF(D88="",$Z$19,D88)</f>
        <v>Beverages</v>
      </c>
      <c r="O88">
        <f>IF(H88="",$Y$24,H88)</f>
        <v>365</v>
      </c>
      <c r="P88">
        <f>IF(I88="",$Z$24,I88)</f>
        <v>121.16</v>
      </c>
      <c r="Q88">
        <f t="shared" si="6"/>
        <v>44223.4</v>
      </c>
      <c r="R88">
        <f t="shared" si="7"/>
        <v>-26473.450000000004</v>
      </c>
    </row>
    <row r="89" spans="1:18">
      <c r="A89" s="3" t="s">
        <v>134</v>
      </c>
      <c r="B89" s="4" t="s">
        <v>3</v>
      </c>
      <c r="C89" s="4" t="s">
        <v>46</v>
      </c>
      <c r="D89" s="4" t="s">
        <v>9</v>
      </c>
      <c r="E89" s="4" t="s">
        <v>32</v>
      </c>
      <c r="F89" s="4" t="s">
        <v>41</v>
      </c>
      <c r="G89" s="5">
        <v>45014</v>
      </c>
      <c r="H89" s="4">
        <v>267</v>
      </c>
      <c r="I89" s="4">
        <v>442.44</v>
      </c>
      <c r="J89" s="6">
        <v>72.400000000000006</v>
      </c>
      <c r="K89">
        <f t="shared" si="4"/>
        <v>78</v>
      </c>
      <c r="L89">
        <f t="shared" si="5"/>
        <v>83</v>
      </c>
      <c r="M89" t="str">
        <f>IF(B89="",$Z$18,B89)</f>
        <v>North</v>
      </c>
      <c r="N89" t="str">
        <f>IF(D89="",$Z$19,D89)</f>
        <v>Beverages</v>
      </c>
      <c r="O89">
        <f>IF(H89="",$Y$24,H89)</f>
        <v>267</v>
      </c>
      <c r="P89">
        <f>IF(I89="",$Z$24,I89)</f>
        <v>442.44</v>
      </c>
      <c r="Q89">
        <f t="shared" si="6"/>
        <v>118131.48</v>
      </c>
      <c r="R89">
        <f t="shared" si="7"/>
        <v>98800.68</v>
      </c>
    </row>
    <row r="90" spans="1:18">
      <c r="A90" s="3" t="s">
        <v>135</v>
      </c>
      <c r="B90" s="4" t="s">
        <v>5</v>
      </c>
      <c r="C90" s="4" t="s">
        <v>31</v>
      </c>
      <c r="D90" s="4" t="s">
        <v>11</v>
      </c>
      <c r="E90" s="4" t="s">
        <v>38</v>
      </c>
      <c r="F90" s="4" t="s">
        <v>41</v>
      </c>
      <c r="G90" s="5">
        <v>45015</v>
      </c>
      <c r="H90" s="4">
        <v>215</v>
      </c>
      <c r="I90" s="4">
        <v>223.8</v>
      </c>
      <c r="J90" s="6">
        <v>156.06</v>
      </c>
      <c r="K90">
        <f t="shared" si="4"/>
        <v>106</v>
      </c>
      <c r="L90">
        <f t="shared" si="5"/>
        <v>70</v>
      </c>
      <c r="M90" t="str">
        <f>IF(B90="",$Z$18,B90)</f>
        <v>West</v>
      </c>
      <c r="N90" t="str">
        <f>IF(D90="",$Z$19,D90)</f>
        <v>Electronics</v>
      </c>
      <c r="O90">
        <f>IF(H90="",$Y$24,H90)</f>
        <v>215</v>
      </c>
      <c r="P90">
        <f>IF(I90="",$Z$24,I90)</f>
        <v>223.8</v>
      </c>
      <c r="Q90">
        <f t="shared" si="6"/>
        <v>48117</v>
      </c>
      <c r="R90">
        <f t="shared" si="7"/>
        <v>14564.099999999999</v>
      </c>
    </row>
    <row r="91" spans="1:18">
      <c r="A91" s="3" t="s">
        <v>136</v>
      </c>
      <c r="B91" s="4" t="s">
        <v>4</v>
      </c>
      <c r="C91" s="4" t="s">
        <v>35</v>
      </c>
      <c r="D91" s="4" t="s">
        <v>11</v>
      </c>
      <c r="E91" s="4" t="s">
        <v>32</v>
      </c>
      <c r="F91" s="4" t="s">
        <v>41</v>
      </c>
      <c r="G91" s="5">
        <v>45016</v>
      </c>
      <c r="H91" s="4">
        <v>86</v>
      </c>
      <c r="I91" s="4">
        <v>168.79</v>
      </c>
      <c r="J91" s="6">
        <v>385.6</v>
      </c>
      <c r="K91">
        <f t="shared" si="4"/>
        <v>75</v>
      </c>
      <c r="L91">
        <f t="shared" si="5"/>
        <v>70</v>
      </c>
      <c r="M91" t="str">
        <f>IF(B91="",$Z$18,B91)</f>
        <v>South</v>
      </c>
      <c r="N91" t="str">
        <f>IF(D91="",$Z$19,D91)</f>
        <v>Electronics</v>
      </c>
      <c r="O91">
        <f>IF(H91="",$Y$24,H91)</f>
        <v>86</v>
      </c>
      <c r="P91">
        <f>IF(I91="",$Z$24,I91)</f>
        <v>168.79</v>
      </c>
      <c r="Q91">
        <f t="shared" si="6"/>
        <v>14515.939999999999</v>
      </c>
      <c r="R91">
        <f t="shared" si="7"/>
        <v>-18645.66</v>
      </c>
    </row>
    <row r="92" spans="1:18">
      <c r="A92" s="3" t="s">
        <v>137</v>
      </c>
      <c r="B92" s="4" t="s">
        <v>5</v>
      </c>
      <c r="C92" s="4" t="s">
        <v>31</v>
      </c>
      <c r="D92" s="4" t="s">
        <v>13</v>
      </c>
      <c r="E92" s="4" t="s">
        <v>38</v>
      </c>
      <c r="F92" s="4" t="s">
        <v>41</v>
      </c>
      <c r="G92" s="5">
        <v>45017</v>
      </c>
      <c r="H92" s="4">
        <v>486</v>
      </c>
      <c r="I92" s="4">
        <v>227.14</v>
      </c>
      <c r="J92" s="6">
        <v>100.93</v>
      </c>
      <c r="K92">
        <f t="shared" si="4"/>
        <v>106</v>
      </c>
      <c r="L92">
        <f t="shared" si="5"/>
        <v>69</v>
      </c>
      <c r="M92" t="str">
        <f>IF(B92="",$Z$18,B92)</f>
        <v>West</v>
      </c>
      <c r="N92" t="str">
        <f>IF(D92="",$Z$19,D92)</f>
        <v>Furniture</v>
      </c>
      <c r="O92">
        <f>IF(H92="",$Y$24,H92)</f>
        <v>486</v>
      </c>
      <c r="P92">
        <f>IF(I92="",$Z$24,I92)</f>
        <v>227.14</v>
      </c>
      <c r="Q92">
        <f t="shared" si="6"/>
        <v>110390.04</v>
      </c>
      <c r="R92">
        <f t="shared" si="7"/>
        <v>61338.05999999999</v>
      </c>
    </row>
    <row r="93" spans="1:18">
      <c r="A93" s="3" t="s">
        <v>138</v>
      </c>
      <c r="B93" s="4" t="s">
        <v>5</v>
      </c>
      <c r="C93" s="4" t="s">
        <v>65</v>
      </c>
      <c r="D93" s="4" t="s">
        <v>11</v>
      </c>
      <c r="E93" s="4" t="s">
        <v>38</v>
      </c>
      <c r="F93" s="4" t="s">
        <v>36</v>
      </c>
      <c r="G93" s="5">
        <v>45018</v>
      </c>
      <c r="H93" s="4">
        <v>21</v>
      </c>
      <c r="I93" s="4">
        <v>249.64520588235297</v>
      </c>
      <c r="J93" s="6">
        <v>55.25</v>
      </c>
      <c r="K93">
        <f t="shared" si="4"/>
        <v>106</v>
      </c>
      <c r="L93">
        <f t="shared" si="5"/>
        <v>70</v>
      </c>
      <c r="M93" t="str">
        <f>IF(B93="",$Z$18,B93)</f>
        <v>West</v>
      </c>
      <c r="N93" t="str">
        <f>IF(D93="",$Z$19,D93)</f>
        <v>Electronics</v>
      </c>
      <c r="O93">
        <f>IF(H93="",$Y$24,H93)</f>
        <v>21</v>
      </c>
      <c r="P93">
        <f>IF(I93="",$Z$24,I93)</f>
        <v>249.64520588235297</v>
      </c>
      <c r="Q93">
        <f t="shared" si="6"/>
        <v>5242.5493235294125</v>
      </c>
      <c r="R93">
        <f t="shared" si="7"/>
        <v>4082.2993235294125</v>
      </c>
    </row>
    <row r="94" spans="1:18">
      <c r="A94" s="3" t="s">
        <v>139</v>
      </c>
      <c r="B94" s="4" t="s">
        <v>4</v>
      </c>
      <c r="C94" s="4" t="s">
        <v>65</v>
      </c>
      <c r="D94" s="4" t="s">
        <v>10</v>
      </c>
      <c r="E94" s="4" t="s">
        <v>38</v>
      </c>
      <c r="F94" s="4" t="s">
        <v>33</v>
      </c>
      <c r="G94" s="5">
        <v>45019</v>
      </c>
      <c r="H94" s="4">
        <v>304</v>
      </c>
      <c r="I94" s="4">
        <v>77.150000000000006</v>
      </c>
      <c r="J94" s="6">
        <v>168.6</v>
      </c>
      <c r="K94">
        <f t="shared" si="4"/>
        <v>75</v>
      </c>
      <c r="L94">
        <f t="shared" si="5"/>
        <v>67</v>
      </c>
      <c r="M94" t="str">
        <f>IF(B94="",$Z$18,B94)</f>
        <v>South</v>
      </c>
      <c r="N94" t="str">
        <f>IF(D94="",$Z$19,D94)</f>
        <v>Clothing</v>
      </c>
      <c r="O94">
        <f>IF(H94="",$Y$24,H94)</f>
        <v>304</v>
      </c>
      <c r="P94">
        <f>IF(I94="",$Z$24,I94)</f>
        <v>77.150000000000006</v>
      </c>
      <c r="Q94">
        <f t="shared" si="6"/>
        <v>23453.600000000002</v>
      </c>
      <c r="R94">
        <f t="shared" si="7"/>
        <v>-27800.799999999999</v>
      </c>
    </row>
    <row r="95" spans="1:18">
      <c r="A95" s="3" t="s">
        <v>140</v>
      </c>
      <c r="B95" s="4" t="s">
        <v>4</v>
      </c>
      <c r="C95" s="4" t="s">
        <v>35</v>
      </c>
      <c r="D95" s="4" t="s">
        <v>9</v>
      </c>
      <c r="E95" s="4" t="s">
        <v>32</v>
      </c>
      <c r="F95" s="4" t="s">
        <v>36</v>
      </c>
      <c r="G95" s="5">
        <v>45020</v>
      </c>
      <c r="H95" s="4">
        <v>459</v>
      </c>
      <c r="I95" s="4">
        <v>227.47</v>
      </c>
      <c r="J95" s="6">
        <v>316.55</v>
      </c>
      <c r="K95">
        <f t="shared" si="4"/>
        <v>75</v>
      </c>
      <c r="L95">
        <f t="shared" si="5"/>
        <v>83</v>
      </c>
      <c r="M95" t="str">
        <f>IF(B95="",$Z$18,B95)</f>
        <v>South</v>
      </c>
      <c r="N95" t="str">
        <f>IF(D95="",$Z$19,D95)</f>
        <v>Beverages</v>
      </c>
      <c r="O95">
        <f>IF(H95="",$Y$24,H95)</f>
        <v>459</v>
      </c>
      <c r="P95">
        <f>IF(I95="",$Z$24,I95)</f>
        <v>227.47</v>
      </c>
      <c r="Q95">
        <f t="shared" si="6"/>
        <v>104408.73</v>
      </c>
      <c r="R95">
        <f t="shared" si="7"/>
        <v>-40887.720000000016</v>
      </c>
    </row>
    <row r="96" spans="1:18">
      <c r="A96" s="3" t="s">
        <v>141</v>
      </c>
      <c r="B96" s="4" t="s">
        <v>4</v>
      </c>
      <c r="C96" s="4" t="s">
        <v>46</v>
      </c>
      <c r="D96" s="4" t="s">
        <v>13</v>
      </c>
      <c r="E96" s="4" t="s">
        <v>32</v>
      </c>
      <c r="F96" s="4" t="s">
        <v>33</v>
      </c>
      <c r="G96" s="5">
        <v>45021</v>
      </c>
      <c r="H96" s="4">
        <v>233</v>
      </c>
      <c r="I96" s="4">
        <v>296</v>
      </c>
      <c r="J96" s="6">
        <v>233.69</v>
      </c>
      <c r="K96">
        <f t="shared" si="4"/>
        <v>75</v>
      </c>
      <c r="L96">
        <f t="shared" si="5"/>
        <v>69</v>
      </c>
      <c r="M96" t="str">
        <f>IF(B96="",$Z$18,B96)</f>
        <v>South</v>
      </c>
      <c r="N96" t="str">
        <f>IF(D96="",$Z$19,D96)</f>
        <v>Furniture</v>
      </c>
      <c r="O96">
        <f>IF(H96="",$Y$24,H96)</f>
        <v>233</v>
      </c>
      <c r="P96">
        <f>IF(I96="",$Z$24,I96)</f>
        <v>296</v>
      </c>
      <c r="Q96">
        <f t="shared" si="6"/>
        <v>68968</v>
      </c>
      <c r="R96">
        <f t="shared" si="7"/>
        <v>14518.230000000003</v>
      </c>
    </row>
    <row r="97" spans="1:18">
      <c r="A97" s="3" t="s">
        <v>142</v>
      </c>
      <c r="B97" s="4" t="s">
        <v>4</v>
      </c>
      <c r="C97" s="4" t="s">
        <v>40</v>
      </c>
      <c r="D97" s="4" t="s">
        <v>11</v>
      </c>
      <c r="E97" s="4" t="s">
        <v>38</v>
      </c>
      <c r="F97" s="4" t="s">
        <v>36</v>
      </c>
      <c r="G97" s="5">
        <v>45022</v>
      </c>
      <c r="H97" s="4">
        <v>22</v>
      </c>
      <c r="I97" s="4">
        <v>474.55</v>
      </c>
      <c r="J97" s="6">
        <v>273.02999999999997</v>
      </c>
      <c r="K97">
        <f t="shared" si="4"/>
        <v>75</v>
      </c>
      <c r="L97">
        <f t="shared" si="5"/>
        <v>70</v>
      </c>
      <c r="M97" t="str">
        <f>IF(B97="",$Z$18,B97)</f>
        <v>South</v>
      </c>
      <c r="N97" t="str">
        <f>IF(D97="",$Z$19,D97)</f>
        <v>Electronics</v>
      </c>
      <c r="O97">
        <f>IF(H97="",$Y$24,H97)</f>
        <v>22</v>
      </c>
      <c r="P97">
        <f>IF(I97="",$Z$24,I97)</f>
        <v>474.55</v>
      </c>
      <c r="Q97">
        <f t="shared" si="6"/>
        <v>10440.1</v>
      </c>
      <c r="R97">
        <f t="shared" si="7"/>
        <v>4433.4400000000005</v>
      </c>
    </row>
    <row r="98" spans="1:18">
      <c r="A98" s="3" t="s">
        <v>143</v>
      </c>
      <c r="B98" s="4" t="s">
        <v>4</v>
      </c>
      <c r="C98" s="4" t="s">
        <v>35</v>
      </c>
      <c r="D98" s="4" t="s">
        <v>10</v>
      </c>
      <c r="E98" s="4" t="s">
        <v>32</v>
      </c>
      <c r="F98" s="4" t="s">
        <v>41</v>
      </c>
      <c r="G98" s="5">
        <v>45023</v>
      </c>
      <c r="H98" s="4">
        <v>55</v>
      </c>
      <c r="I98" s="4">
        <v>130</v>
      </c>
      <c r="J98" s="6">
        <v>77.5</v>
      </c>
      <c r="K98">
        <f t="shared" si="4"/>
        <v>75</v>
      </c>
      <c r="L98">
        <f t="shared" si="5"/>
        <v>67</v>
      </c>
      <c r="M98" t="str">
        <f>IF(B98="",$Z$18,B98)</f>
        <v>South</v>
      </c>
      <c r="N98" t="str">
        <f>IF(D98="",$Z$19,D98)</f>
        <v>Clothing</v>
      </c>
      <c r="O98">
        <f>IF(H98="",$Y$24,H98)</f>
        <v>55</v>
      </c>
      <c r="P98">
        <f>IF(I98="",$Z$24,I98)</f>
        <v>130</v>
      </c>
      <c r="Q98">
        <f t="shared" si="6"/>
        <v>7150</v>
      </c>
      <c r="R98">
        <f t="shared" si="7"/>
        <v>2887.5</v>
      </c>
    </row>
    <row r="99" spans="1:18">
      <c r="A99" s="3" t="s">
        <v>144</v>
      </c>
      <c r="B99" s="4" t="s">
        <v>5</v>
      </c>
      <c r="C99" s="4" t="s">
        <v>40</v>
      </c>
      <c r="D99" s="4" t="s">
        <v>10</v>
      </c>
      <c r="E99" s="4" t="s">
        <v>32</v>
      </c>
      <c r="F99" s="4" t="s">
        <v>33</v>
      </c>
      <c r="G99" s="5">
        <v>45024</v>
      </c>
      <c r="H99" s="4">
        <v>164</v>
      </c>
      <c r="I99" s="4">
        <v>182.83</v>
      </c>
      <c r="J99" s="6">
        <v>248.34</v>
      </c>
      <c r="K99">
        <f t="shared" si="4"/>
        <v>106</v>
      </c>
      <c r="L99">
        <f t="shared" si="5"/>
        <v>67</v>
      </c>
      <c r="M99" t="str">
        <f>IF(B99="",$Z$18,B99)</f>
        <v>West</v>
      </c>
      <c r="N99" t="str">
        <f>IF(D99="",$Z$19,D99)</f>
        <v>Clothing</v>
      </c>
      <c r="O99">
        <f>IF(H99="",$Y$24,H99)</f>
        <v>164</v>
      </c>
      <c r="P99">
        <f>IF(I99="",$Z$24,I99)</f>
        <v>182.83</v>
      </c>
      <c r="Q99">
        <f t="shared" si="6"/>
        <v>29984.120000000003</v>
      </c>
      <c r="R99">
        <f t="shared" si="7"/>
        <v>-10743.64</v>
      </c>
    </row>
    <row r="100" spans="1:18">
      <c r="A100" s="3" t="s">
        <v>145</v>
      </c>
      <c r="B100" s="4" t="s">
        <v>4</v>
      </c>
      <c r="C100" s="4" t="s">
        <v>40</v>
      </c>
      <c r="D100" s="4" t="s">
        <v>11</v>
      </c>
      <c r="E100" s="4" t="s">
        <v>32</v>
      </c>
      <c r="F100" s="4" t="s">
        <v>33</v>
      </c>
      <c r="G100" s="5">
        <v>45025</v>
      </c>
      <c r="H100" s="4">
        <v>122</v>
      </c>
      <c r="I100" s="4">
        <v>192.78</v>
      </c>
      <c r="J100" s="6">
        <v>130.75</v>
      </c>
      <c r="K100">
        <f t="shared" si="4"/>
        <v>75</v>
      </c>
      <c r="L100">
        <f t="shared" si="5"/>
        <v>70</v>
      </c>
      <c r="M100" t="str">
        <f>IF(B100="",$Z$18,B100)</f>
        <v>South</v>
      </c>
      <c r="N100" t="str">
        <f>IF(D100="",$Z$19,D100)</f>
        <v>Electronics</v>
      </c>
      <c r="O100">
        <f>IF(H100="",$Y$24,H100)</f>
        <v>122</v>
      </c>
      <c r="P100">
        <f>IF(I100="",$Z$24,I100)</f>
        <v>192.78</v>
      </c>
      <c r="Q100">
        <f t="shared" si="6"/>
        <v>23519.16</v>
      </c>
      <c r="R100">
        <f t="shared" si="7"/>
        <v>7567.66</v>
      </c>
    </row>
    <row r="101" spans="1:18">
      <c r="A101" s="3" t="s">
        <v>146</v>
      </c>
      <c r="B101" s="4" t="s">
        <v>3</v>
      </c>
      <c r="C101" s="4" t="s">
        <v>46</v>
      </c>
      <c r="D101" s="4" t="s">
        <v>9</v>
      </c>
      <c r="E101" s="4" t="s">
        <v>38</v>
      </c>
      <c r="F101" s="4" t="s">
        <v>36</v>
      </c>
      <c r="G101" s="5">
        <v>45026</v>
      </c>
      <c r="H101" s="4">
        <v>242</v>
      </c>
      <c r="I101" s="4">
        <v>304.74</v>
      </c>
      <c r="J101" s="6">
        <v>334.05</v>
      </c>
      <c r="K101">
        <f t="shared" si="4"/>
        <v>78</v>
      </c>
      <c r="L101">
        <f t="shared" si="5"/>
        <v>83</v>
      </c>
      <c r="M101" t="str">
        <f>IF(B101="",$Z$18,B101)</f>
        <v>North</v>
      </c>
      <c r="N101" t="str">
        <f>IF(D101="",$Z$19,D101)</f>
        <v>Beverages</v>
      </c>
      <c r="O101">
        <f>IF(H101="",$Y$24,H101)</f>
        <v>242</v>
      </c>
      <c r="P101">
        <f>IF(I101="",$Z$24,I101)</f>
        <v>304.74</v>
      </c>
      <c r="Q101">
        <f t="shared" si="6"/>
        <v>73747.08</v>
      </c>
      <c r="R101">
        <f t="shared" si="7"/>
        <v>-7093.0200000000041</v>
      </c>
    </row>
    <row r="102" spans="1:18">
      <c r="A102" s="3" t="s">
        <v>147</v>
      </c>
      <c r="B102" s="4" t="s">
        <v>2</v>
      </c>
      <c r="C102" s="4" t="s">
        <v>40</v>
      </c>
      <c r="D102" s="4" t="s">
        <v>11</v>
      </c>
      <c r="E102" s="4" t="s">
        <v>38</v>
      </c>
      <c r="F102" s="4" t="s">
        <v>36</v>
      </c>
      <c r="G102" s="5">
        <v>45027</v>
      </c>
      <c r="H102" s="4">
        <v>26</v>
      </c>
      <c r="I102" s="4">
        <v>181.58</v>
      </c>
      <c r="J102" s="6">
        <v>252.46</v>
      </c>
      <c r="K102">
        <f t="shared" si="4"/>
        <v>91</v>
      </c>
      <c r="L102">
        <f t="shared" si="5"/>
        <v>70</v>
      </c>
      <c r="M102" t="str">
        <f>IF(B102="",$Z$18,B102)</f>
        <v>East</v>
      </c>
      <c r="N102" t="str">
        <f>IF(D102="",$Z$19,D102)</f>
        <v>Electronics</v>
      </c>
      <c r="O102">
        <f>IF(H102="",$Y$24,H102)</f>
        <v>26</v>
      </c>
      <c r="P102">
        <f>IF(I102="",$Z$24,I102)</f>
        <v>181.58</v>
      </c>
      <c r="Q102">
        <f t="shared" si="6"/>
        <v>4721.08</v>
      </c>
      <c r="R102">
        <f t="shared" si="7"/>
        <v>-1842.88</v>
      </c>
    </row>
    <row r="103" spans="1:18">
      <c r="A103" s="3" t="s">
        <v>148</v>
      </c>
      <c r="B103" s="4" t="s">
        <v>4</v>
      </c>
      <c r="C103" s="4" t="s">
        <v>40</v>
      </c>
      <c r="D103" s="4" t="s">
        <v>13</v>
      </c>
      <c r="E103" s="4" t="s">
        <v>32</v>
      </c>
      <c r="F103" s="4" t="s">
        <v>33</v>
      </c>
      <c r="G103" s="5">
        <v>45028</v>
      </c>
      <c r="H103" s="4">
        <v>369</v>
      </c>
      <c r="I103" s="4">
        <v>269.08999999999997</v>
      </c>
      <c r="J103" s="6">
        <v>81.14</v>
      </c>
      <c r="K103">
        <f t="shared" si="4"/>
        <v>75</v>
      </c>
      <c r="L103">
        <f t="shared" si="5"/>
        <v>69</v>
      </c>
      <c r="M103" t="str">
        <f>IF(B103="",$Z$18,B103)</f>
        <v>South</v>
      </c>
      <c r="N103" t="str">
        <f>IF(D103="",$Z$19,D103)</f>
        <v>Furniture</v>
      </c>
      <c r="O103">
        <f>IF(H103="",$Y$24,H103)</f>
        <v>369</v>
      </c>
      <c r="P103">
        <f>IF(I103="",$Z$24,I103)</f>
        <v>269.08999999999997</v>
      </c>
      <c r="Q103">
        <f t="shared" si="6"/>
        <v>99294.209999999992</v>
      </c>
      <c r="R103">
        <f t="shared" si="7"/>
        <v>69353.549999999988</v>
      </c>
    </row>
    <row r="104" spans="1:18">
      <c r="A104" s="3" t="s">
        <v>149</v>
      </c>
      <c r="B104" s="4" t="s">
        <v>4</v>
      </c>
      <c r="C104" s="4" t="s">
        <v>46</v>
      </c>
      <c r="D104" s="4" t="s">
        <v>11</v>
      </c>
      <c r="E104" s="4" t="s">
        <v>38</v>
      </c>
      <c r="F104" s="4" t="s">
        <v>36</v>
      </c>
      <c r="G104" s="5">
        <v>45029</v>
      </c>
      <c r="H104" s="4">
        <v>232</v>
      </c>
      <c r="I104" s="4">
        <v>391.99</v>
      </c>
      <c r="J104" s="6">
        <v>27.72</v>
      </c>
      <c r="K104">
        <f t="shared" si="4"/>
        <v>75</v>
      </c>
      <c r="L104">
        <f t="shared" si="5"/>
        <v>70</v>
      </c>
      <c r="M104" t="str">
        <f>IF(B104="",$Z$18,B104)</f>
        <v>South</v>
      </c>
      <c r="N104" t="str">
        <f>IF(D104="",$Z$19,D104)</f>
        <v>Electronics</v>
      </c>
      <c r="O104">
        <f>IF(H104="",$Y$24,H104)</f>
        <v>232</v>
      </c>
      <c r="P104">
        <f>IF(I104="",$Z$24,I104)</f>
        <v>391.99</v>
      </c>
      <c r="Q104">
        <f t="shared" si="6"/>
        <v>90941.680000000008</v>
      </c>
      <c r="R104">
        <f t="shared" si="7"/>
        <v>84510.640000000014</v>
      </c>
    </row>
    <row r="105" spans="1:18">
      <c r="A105" s="3" t="s">
        <v>150</v>
      </c>
      <c r="B105" s="4" t="s">
        <v>5</v>
      </c>
      <c r="C105" s="4" t="s">
        <v>40</v>
      </c>
      <c r="D105" s="4" t="s">
        <v>10</v>
      </c>
      <c r="E105" s="4" t="s">
        <v>32</v>
      </c>
      <c r="F105" s="4" t="s">
        <v>36</v>
      </c>
      <c r="G105" s="5">
        <v>45030</v>
      </c>
      <c r="H105" s="4">
        <v>363</v>
      </c>
      <c r="I105" s="4">
        <v>354.17</v>
      </c>
      <c r="J105" s="6">
        <v>18.97</v>
      </c>
      <c r="K105">
        <f t="shared" si="4"/>
        <v>106</v>
      </c>
      <c r="L105">
        <f t="shared" si="5"/>
        <v>67</v>
      </c>
      <c r="M105" t="str">
        <f>IF(B105="",$Z$18,B105)</f>
        <v>West</v>
      </c>
      <c r="N105" t="str">
        <f>IF(D105="",$Z$19,D105)</f>
        <v>Clothing</v>
      </c>
      <c r="O105">
        <f>IF(H105="",$Y$24,H105)</f>
        <v>363</v>
      </c>
      <c r="P105">
        <f>IF(I105="",$Z$24,I105)</f>
        <v>354.17</v>
      </c>
      <c r="Q105">
        <f t="shared" si="6"/>
        <v>128563.71</v>
      </c>
      <c r="R105">
        <f t="shared" si="7"/>
        <v>121677.6</v>
      </c>
    </row>
    <row r="106" spans="1:18">
      <c r="A106" s="3" t="s">
        <v>151</v>
      </c>
      <c r="B106" s="4" t="s">
        <v>4</v>
      </c>
      <c r="C106" s="4" t="s">
        <v>40</v>
      </c>
      <c r="D106" s="4" t="s">
        <v>11</v>
      </c>
      <c r="E106" s="4" t="s">
        <v>32</v>
      </c>
      <c r="F106" s="4" t="s">
        <v>36</v>
      </c>
      <c r="G106" s="5">
        <v>45031</v>
      </c>
      <c r="H106" s="4">
        <v>197</v>
      </c>
      <c r="I106" s="4">
        <v>225.95</v>
      </c>
      <c r="J106" s="6">
        <v>149.82</v>
      </c>
      <c r="K106">
        <f t="shared" si="4"/>
        <v>75</v>
      </c>
      <c r="L106">
        <f t="shared" si="5"/>
        <v>70</v>
      </c>
      <c r="M106" t="str">
        <f>IF(B106="",$Z$18,B106)</f>
        <v>South</v>
      </c>
      <c r="N106" t="str">
        <f>IF(D106="",$Z$19,D106)</f>
        <v>Electronics</v>
      </c>
      <c r="O106">
        <f>IF(H106="",$Y$24,H106)</f>
        <v>197</v>
      </c>
      <c r="P106">
        <f>IF(I106="",$Z$24,I106)</f>
        <v>225.95</v>
      </c>
      <c r="Q106">
        <f t="shared" si="6"/>
        <v>44512.149999999994</v>
      </c>
      <c r="R106">
        <f t="shared" si="7"/>
        <v>14997.609999999997</v>
      </c>
    </row>
    <row r="107" spans="1:18">
      <c r="A107" s="3" t="s">
        <v>152</v>
      </c>
      <c r="B107" s="4" t="s">
        <v>4</v>
      </c>
      <c r="C107" s="4" t="s">
        <v>40</v>
      </c>
      <c r="D107" s="4" t="s">
        <v>9</v>
      </c>
      <c r="E107" s="4" t="s">
        <v>32</v>
      </c>
      <c r="F107" s="4" t="s">
        <v>41</v>
      </c>
      <c r="G107" s="5">
        <v>45032</v>
      </c>
      <c r="H107" s="4">
        <v>457</v>
      </c>
      <c r="I107" s="4">
        <v>432.79</v>
      </c>
      <c r="J107" s="6">
        <v>107.81</v>
      </c>
      <c r="K107">
        <f t="shared" si="4"/>
        <v>75</v>
      </c>
      <c r="L107">
        <f t="shared" si="5"/>
        <v>83</v>
      </c>
      <c r="M107" t="str">
        <f>IF(B107="",$Z$18,B107)</f>
        <v>South</v>
      </c>
      <c r="N107" t="str">
        <f>IF(D107="",$Z$19,D107)</f>
        <v>Beverages</v>
      </c>
      <c r="O107">
        <f>IF(H107="",$Y$24,H107)</f>
        <v>457</v>
      </c>
      <c r="P107">
        <f>IF(I107="",$Z$24,I107)</f>
        <v>432.79</v>
      </c>
      <c r="Q107">
        <f t="shared" si="6"/>
        <v>197785.03</v>
      </c>
      <c r="R107">
        <f t="shared" si="7"/>
        <v>148515.85999999999</v>
      </c>
    </row>
    <row r="108" spans="1:18">
      <c r="A108" s="3" t="s">
        <v>153</v>
      </c>
      <c r="B108" s="4" t="s">
        <v>4</v>
      </c>
      <c r="C108" s="4" t="s">
        <v>35</v>
      </c>
      <c r="D108" s="4" t="s">
        <v>12</v>
      </c>
      <c r="E108" s="4" t="s">
        <v>32</v>
      </c>
      <c r="F108" s="4" t="s">
        <v>41</v>
      </c>
      <c r="G108" s="5">
        <v>45033</v>
      </c>
      <c r="H108" s="4">
        <v>353</v>
      </c>
      <c r="I108" s="4">
        <v>281.27999999999997</v>
      </c>
      <c r="J108" s="6">
        <v>259.14</v>
      </c>
      <c r="K108">
        <f t="shared" si="4"/>
        <v>75</v>
      </c>
      <c r="L108">
        <f t="shared" si="5"/>
        <v>61</v>
      </c>
      <c r="M108" t="str">
        <f>IF(B108="",$Z$18,B108)</f>
        <v>South</v>
      </c>
      <c r="N108" t="str">
        <f>IF(D108="",$Z$19,D108)</f>
        <v>Food</v>
      </c>
      <c r="O108">
        <f>IF(H108="",$Y$24,H108)</f>
        <v>353</v>
      </c>
      <c r="P108">
        <f>IF(I108="",$Z$24,I108)</f>
        <v>281.27999999999997</v>
      </c>
      <c r="Q108">
        <f t="shared" si="6"/>
        <v>99291.839999999997</v>
      </c>
      <c r="R108">
        <f t="shared" si="7"/>
        <v>7815.4199999999983</v>
      </c>
    </row>
    <row r="109" spans="1:18">
      <c r="A109" s="3" t="s">
        <v>154</v>
      </c>
      <c r="B109" s="4" t="s">
        <v>5</v>
      </c>
      <c r="C109" s="4" t="s">
        <v>35</v>
      </c>
      <c r="D109" s="4" t="s">
        <v>11</v>
      </c>
      <c r="E109" s="4" t="s">
        <v>38</v>
      </c>
      <c r="F109" s="4" t="s">
        <v>36</v>
      </c>
      <c r="G109" s="5">
        <v>45034</v>
      </c>
      <c r="H109" s="4">
        <v>374</v>
      </c>
      <c r="I109" s="4">
        <v>272.25</v>
      </c>
      <c r="J109" s="6">
        <v>200.73</v>
      </c>
      <c r="K109">
        <f t="shared" si="4"/>
        <v>106</v>
      </c>
      <c r="L109">
        <f t="shared" si="5"/>
        <v>70</v>
      </c>
      <c r="M109" t="str">
        <f>IF(B109="",$Z$18,B109)</f>
        <v>West</v>
      </c>
      <c r="N109" t="str">
        <f>IF(D109="",$Z$19,D109)</f>
        <v>Electronics</v>
      </c>
      <c r="O109">
        <f>IF(H109="",$Y$24,H109)</f>
        <v>374</v>
      </c>
      <c r="P109">
        <f>IF(I109="",$Z$24,I109)</f>
        <v>272.25</v>
      </c>
      <c r="Q109">
        <f t="shared" si="6"/>
        <v>101821.5</v>
      </c>
      <c r="R109">
        <f t="shared" si="7"/>
        <v>26748.48000000001</v>
      </c>
    </row>
    <row r="110" spans="1:18">
      <c r="A110" s="3" t="s">
        <v>155</v>
      </c>
      <c r="B110" s="4" t="s">
        <v>4</v>
      </c>
      <c r="C110" s="4" t="s">
        <v>35</v>
      </c>
      <c r="D110" s="4" t="s">
        <v>9</v>
      </c>
      <c r="E110" s="4" t="s">
        <v>38</v>
      </c>
      <c r="F110" s="4" t="s">
        <v>36</v>
      </c>
      <c r="G110" s="5">
        <v>45035</v>
      </c>
      <c r="H110" s="4">
        <v>172</v>
      </c>
      <c r="I110" s="4">
        <v>21.92</v>
      </c>
      <c r="J110" s="6">
        <v>107.88</v>
      </c>
      <c r="K110">
        <f t="shared" si="4"/>
        <v>75</v>
      </c>
      <c r="L110">
        <f t="shared" si="5"/>
        <v>83</v>
      </c>
      <c r="M110" t="str">
        <f>IF(B110="",$Z$18,B110)</f>
        <v>South</v>
      </c>
      <c r="N110" t="str">
        <f>IF(D110="",$Z$19,D110)</f>
        <v>Beverages</v>
      </c>
      <c r="O110">
        <f>IF(H110="",$Y$24,H110)</f>
        <v>172</v>
      </c>
      <c r="P110">
        <f>IF(I110="",$Z$24,I110)</f>
        <v>21.92</v>
      </c>
      <c r="Q110">
        <f t="shared" si="6"/>
        <v>3770.2400000000002</v>
      </c>
      <c r="R110">
        <f t="shared" si="7"/>
        <v>-14785.12</v>
      </c>
    </row>
    <row r="111" spans="1:18">
      <c r="A111" s="3" t="s">
        <v>156</v>
      </c>
      <c r="B111" s="4" t="s">
        <v>2</v>
      </c>
      <c r="C111" s="4" t="s">
        <v>46</v>
      </c>
      <c r="D111" s="4" t="s">
        <v>9</v>
      </c>
      <c r="E111" s="4" t="s">
        <v>38</v>
      </c>
      <c r="F111" s="4" t="s">
        <v>41</v>
      </c>
      <c r="G111" s="5">
        <v>45036</v>
      </c>
      <c r="H111" s="4">
        <v>335</v>
      </c>
      <c r="I111" s="4">
        <v>493.41</v>
      </c>
      <c r="J111" s="6">
        <v>61.4</v>
      </c>
      <c r="K111">
        <f t="shared" si="4"/>
        <v>91</v>
      </c>
      <c r="L111">
        <f t="shared" si="5"/>
        <v>83</v>
      </c>
      <c r="M111" t="str">
        <f>IF(B111="",$Z$18,B111)</f>
        <v>East</v>
      </c>
      <c r="N111" t="str">
        <f>IF(D111="",$Z$19,D111)</f>
        <v>Beverages</v>
      </c>
      <c r="O111">
        <f>IF(H111="",$Y$24,H111)</f>
        <v>335</v>
      </c>
      <c r="P111">
        <f>IF(I111="",$Z$24,I111)</f>
        <v>493.41</v>
      </c>
      <c r="Q111">
        <f t="shared" si="6"/>
        <v>165292.35</v>
      </c>
      <c r="R111">
        <f t="shared" si="7"/>
        <v>144723.35</v>
      </c>
    </row>
    <row r="112" spans="1:18">
      <c r="A112" s="3" t="s">
        <v>157</v>
      </c>
      <c r="B112" s="4" t="s">
        <v>5</v>
      </c>
      <c r="C112" s="4" t="s">
        <v>65</v>
      </c>
      <c r="D112" s="4" t="s">
        <v>10</v>
      </c>
      <c r="E112" s="4" t="s">
        <v>32</v>
      </c>
      <c r="F112" s="4" t="s">
        <v>41</v>
      </c>
      <c r="G112" s="5">
        <v>45037</v>
      </c>
      <c r="H112" s="4">
        <v>476</v>
      </c>
      <c r="I112" s="4">
        <v>65.87</v>
      </c>
      <c r="J112" s="6">
        <v>52.63</v>
      </c>
      <c r="K112">
        <f t="shared" si="4"/>
        <v>106</v>
      </c>
      <c r="L112">
        <f t="shared" si="5"/>
        <v>67</v>
      </c>
      <c r="M112" t="str">
        <f>IF(B112="",$Z$18,B112)</f>
        <v>West</v>
      </c>
      <c r="N112" t="str">
        <f>IF(D112="",$Z$19,D112)</f>
        <v>Clothing</v>
      </c>
      <c r="O112">
        <f>IF(H112="",$Y$24,H112)</f>
        <v>476</v>
      </c>
      <c r="P112">
        <f>IF(I112="",$Z$24,I112)</f>
        <v>65.87</v>
      </c>
      <c r="Q112">
        <f t="shared" si="6"/>
        <v>31354.120000000003</v>
      </c>
      <c r="R112">
        <f t="shared" si="7"/>
        <v>6302.2400000000016</v>
      </c>
    </row>
    <row r="113" spans="1:18">
      <c r="A113" s="3" t="s">
        <v>158</v>
      </c>
      <c r="B113" s="4" t="s">
        <v>2</v>
      </c>
      <c r="C113" s="4" t="s">
        <v>40</v>
      </c>
      <c r="D113" s="4" t="s">
        <v>9</v>
      </c>
      <c r="E113" s="4" t="s">
        <v>32</v>
      </c>
      <c r="F113" s="4" t="s">
        <v>33</v>
      </c>
      <c r="G113" s="5">
        <v>45038</v>
      </c>
      <c r="H113" s="4">
        <v>423</v>
      </c>
      <c r="I113" s="4">
        <v>119.41</v>
      </c>
      <c r="J113" s="6">
        <v>346.13</v>
      </c>
      <c r="K113">
        <f t="shared" si="4"/>
        <v>91</v>
      </c>
      <c r="L113">
        <f t="shared" si="5"/>
        <v>83</v>
      </c>
      <c r="M113" t="str">
        <f>IF(B113="",$Z$18,B113)</f>
        <v>East</v>
      </c>
      <c r="N113" t="str">
        <f>IF(D113="",$Z$19,D113)</f>
        <v>Beverages</v>
      </c>
      <c r="O113">
        <f>IF(H113="",$Y$24,H113)</f>
        <v>423</v>
      </c>
      <c r="P113">
        <f>IF(I113="",$Z$24,I113)</f>
        <v>119.41</v>
      </c>
      <c r="Q113">
        <f t="shared" si="6"/>
        <v>50510.43</v>
      </c>
      <c r="R113">
        <f t="shared" si="7"/>
        <v>-95902.56</v>
      </c>
    </row>
    <row r="114" spans="1:18">
      <c r="A114" s="3" t="s">
        <v>159</v>
      </c>
      <c r="B114" s="4" t="s">
        <v>5</v>
      </c>
      <c r="C114" s="4" t="s">
        <v>40</v>
      </c>
      <c r="D114" s="4" t="s">
        <v>9</v>
      </c>
      <c r="E114" s="4" t="s">
        <v>32</v>
      </c>
      <c r="F114" s="4" t="s">
        <v>33</v>
      </c>
      <c r="G114" s="5">
        <v>45039</v>
      </c>
      <c r="H114" s="4">
        <v>464</v>
      </c>
      <c r="I114" s="4">
        <v>30.59</v>
      </c>
      <c r="J114" s="6">
        <v>98.9</v>
      </c>
      <c r="K114">
        <f t="shared" si="4"/>
        <v>106</v>
      </c>
      <c r="L114">
        <f t="shared" si="5"/>
        <v>83</v>
      </c>
      <c r="M114" t="str">
        <f>IF(B114="",$Z$18,B114)</f>
        <v>West</v>
      </c>
      <c r="N114" t="str">
        <f>IF(D114="",$Z$19,D114)</f>
        <v>Beverages</v>
      </c>
      <c r="O114">
        <f>IF(H114="",$Y$24,H114)</f>
        <v>464</v>
      </c>
      <c r="P114">
        <f>IF(I114="",$Z$24,I114)</f>
        <v>30.59</v>
      </c>
      <c r="Q114">
        <f t="shared" si="6"/>
        <v>14193.76</v>
      </c>
      <c r="R114">
        <f t="shared" si="7"/>
        <v>-31695.840000000004</v>
      </c>
    </row>
    <row r="115" spans="1:18">
      <c r="A115" s="3" t="s">
        <v>160</v>
      </c>
      <c r="B115" s="4" t="s">
        <v>4</v>
      </c>
      <c r="C115" s="4" t="s">
        <v>46</v>
      </c>
      <c r="D115" s="4" t="s">
        <v>9</v>
      </c>
      <c r="E115" s="4" t="s">
        <v>38</v>
      </c>
      <c r="F115" s="4" t="s">
        <v>41</v>
      </c>
      <c r="G115" s="5">
        <v>45040</v>
      </c>
      <c r="H115" s="4">
        <v>83</v>
      </c>
      <c r="I115" s="4">
        <v>321.8</v>
      </c>
      <c r="J115" s="6">
        <v>261.38</v>
      </c>
      <c r="K115">
        <f t="shared" si="4"/>
        <v>75</v>
      </c>
      <c r="L115">
        <f t="shared" si="5"/>
        <v>83</v>
      </c>
      <c r="M115" t="str">
        <f>IF(B115="",$Z$18,B115)</f>
        <v>South</v>
      </c>
      <c r="N115" t="str">
        <f>IF(D115="",$Z$19,D115)</f>
        <v>Beverages</v>
      </c>
      <c r="O115">
        <f>IF(H115="",$Y$24,H115)</f>
        <v>83</v>
      </c>
      <c r="P115">
        <f>IF(I115="",$Z$24,I115)</f>
        <v>321.8</v>
      </c>
      <c r="Q115">
        <f t="shared" si="6"/>
        <v>26709.4</v>
      </c>
      <c r="R115">
        <f t="shared" si="7"/>
        <v>5014.8600000000006</v>
      </c>
    </row>
    <row r="116" spans="1:18">
      <c r="A116" s="3" t="s">
        <v>161</v>
      </c>
      <c r="B116" s="4" t="s">
        <v>2</v>
      </c>
      <c r="C116" s="4" t="s">
        <v>40</v>
      </c>
      <c r="D116" s="4" t="s">
        <v>9</v>
      </c>
      <c r="E116" s="4" t="s">
        <v>32</v>
      </c>
      <c r="F116" s="4" t="s">
        <v>36</v>
      </c>
      <c r="G116" s="5">
        <v>45041</v>
      </c>
      <c r="H116" s="4">
        <v>242</v>
      </c>
      <c r="I116" s="4">
        <v>116.23</v>
      </c>
      <c r="J116" s="6">
        <v>324.64999999999998</v>
      </c>
      <c r="K116">
        <f t="shared" si="4"/>
        <v>91</v>
      </c>
      <c r="L116">
        <f t="shared" si="5"/>
        <v>83</v>
      </c>
      <c r="M116" t="str">
        <f>IF(B116="",$Z$18,B116)</f>
        <v>East</v>
      </c>
      <c r="N116" t="str">
        <f>IF(D116="",$Z$19,D116)</f>
        <v>Beverages</v>
      </c>
      <c r="O116">
        <f>IF(H116="",$Y$24,H116)</f>
        <v>242</v>
      </c>
      <c r="P116">
        <f>IF(I116="",$Z$24,I116)</f>
        <v>116.23</v>
      </c>
      <c r="Q116">
        <f t="shared" si="6"/>
        <v>28127.66</v>
      </c>
      <c r="R116">
        <f t="shared" si="7"/>
        <v>-50437.639999999985</v>
      </c>
    </row>
    <row r="117" spans="1:18">
      <c r="A117" s="3" t="s">
        <v>162</v>
      </c>
      <c r="B117" s="4" t="s">
        <v>5</v>
      </c>
      <c r="C117" s="4" t="s">
        <v>35</v>
      </c>
      <c r="D117" s="4" t="s">
        <v>13</v>
      </c>
      <c r="E117" s="4" t="s">
        <v>38</v>
      </c>
      <c r="F117" s="4" t="s">
        <v>36</v>
      </c>
      <c r="G117" s="5">
        <v>45042</v>
      </c>
      <c r="H117" s="4">
        <v>233</v>
      </c>
      <c r="I117" s="4">
        <v>94.11</v>
      </c>
      <c r="J117" s="6">
        <v>246.4</v>
      </c>
      <c r="K117">
        <f t="shared" si="4"/>
        <v>106</v>
      </c>
      <c r="L117">
        <f t="shared" si="5"/>
        <v>69</v>
      </c>
      <c r="M117" t="str">
        <f>IF(B117="",$Z$18,B117)</f>
        <v>West</v>
      </c>
      <c r="N117" t="str">
        <f>IF(D117="",$Z$19,D117)</f>
        <v>Furniture</v>
      </c>
      <c r="O117">
        <f>IF(H117="",$Y$24,H117)</f>
        <v>233</v>
      </c>
      <c r="P117">
        <f>IF(I117="",$Z$24,I117)</f>
        <v>94.11</v>
      </c>
      <c r="Q117">
        <f t="shared" si="6"/>
        <v>21927.63</v>
      </c>
      <c r="R117">
        <f t="shared" si="7"/>
        <v>-35483.570000000007</v>
      </c>
    </row>
    <row r="118" spans="1:18">
      <c r="A118" s="3" t="s">
        <v>163</v>
      </c>
      <c r="B118" s="4" t="s">
        <v>3</v>
      </c>
      <c r="C118" s="4" t="s">
        <v>65</v>
      </c>
      <c r="D118" s="4" t="s">
        <v>13</v>
      </c>
      <c r="E118" s="4" t="s">
        <v>38</v>
      </c>
      <c r="F118" s="4" t="s">
        <v>36</v>
      </c>
      <c r="G118" s="5">
        <v>45043</v>
      </c>
      <c r="H118" s="4">
        <v>491</v>
      </c>
      <c r="I118" s="4">
        <v>48.84</v>
      </c>
      <c r="J118" s="6">
        <v>344.11</v>
      </c>
      <c r="K118">
        <f t="shared" si="4"/>
        <v>78</v>
      </c>
      <c r="L118">
        <f t="shared" si="5"/>
        <v>69</v>
      </c>
      <c r="M118" t="str">
        <f>IF(B118="",$Z$18,B118)</f>
        <v>North</v>
      </c>
      <c r="N118" t="str">
        <f>IF(D118="",$Z$19,D118)</f>
        <v>Furniture</v>
      </c>
      <c r="O118">
        <f>IF(H118="",$Y$24,H118)</f>
        <v>491</v>
      </c>
      <c r="P118">
        <f>IF(I118="",$Z$24,I118)</f>
        <v>48.84</v>
      </c>
      <c r="Q118">
        <f t="shared" si="6"/>
        <v>23980.440000000002</v>
      </c>
      <c r="R118">
        <f t="shared" si="7"/>
        <v>-144977.57</v>
      </c>
    </row>
    <row r="119" spans="1:18">
      <c r="A119" s="3" t="s">
        <v>164</v>
      </c>
      <c r="B119" s="4" t="s">
        <v>5</v>
      </c>
      <c r="C119" s="4" t="s">
        <v>31</v>
      </c>
      <c r="D119" s="4" t="s">
        <v>10</v>
      </c>
      <c r="E119" s="4" t="s">
        <v>38</v>
      </c>
      <c r="F119" s="4" t="s">
        <v>36</v>
      </c>
      <c r="G119" s="5">
        <v>45044</v>
      </c>
      <c r="H119" s="4">
        <v>328</v>
      </c>
      <c r="I119" s="4">
        <v>56.14</v>
      </c>
      <c r="J119" s="6">
        <v>158.16999999999999</v>
      </c>
      <c r="K119">
        <f t="shared" si="4"/>
        <v>106</v>
      </c>
      <c r="L119">
        <f t="shared" si="5"/>
        <v>67</v>
      </c>
      <c r="M119" t="str">
        <f>IF(B119="",$Z$18,B119)</f>
        <v>West</v>
      </c>
      <c r="N119" t="str">
        <f>IF(D119="",$Z$19,D119)</f>
        <v>Clothing</v>
      </c>
      <c r="O119">
        <f>IF(H119="",$Y$24,H119)</f>
        <v>328</v>
      </c>
      <c r="P119">
        <f>IF(I119="",$Z$24,I119)</f>
        <v>56.14</v>
      </c>
      <c r="Q119">
        <f t="shared" si="6"/>
        <v>18413.920000000002</v>
      </c>
      <c r="R119">
        <f t="shared" si="7"/>
        <v>-33465.839999999997</v>
      </c>
    </row>
    <row r="120" spans="1:18">
      <c r="A120" s="3" t="s">
        <v>165</v>
      </c>
      <c r="B120" s="4" t="s">
        <v>5</v>
      </c>
      <c r="C120" s="4" t="s">
        <v>40</v>
      </c>
      <c r="D120" s="4" t="s">
        <v>11</v>
      </c>
      <c r="E120" s="4" t="s">
        <v>38</v>
      </c>
      <c r="F120" s="4" t="s">
        <v>33</v>
      </c>
      <c r="G120" s="5">
        <v>45045</v>
      </c>
      <c r="H120" s="4">
        <v>421</v>
      </c>
      <c r="I120" s="4">
        <v>294.41000000000003</v>
      </c>
      <c r="J120" s="6">
        <v>382.58</v>
      </c>
      <c r="K120">
        <f t="shared" si="4"/>
        <v>106</v>
      </c>
      <c r="L120">
        <f t="shared" si="5"/>
        <v>70</v>
      </c>
      <c r="M120" t="str">
        <f>IF(B120="",$Z$18,B120)</f>
        <v>West</v>
      </c>
      <c r="N120" t="str">
        <f>IF(D120="",$Z$19,D120)</f>
        <v>Electronics</v>
      </c>
      <c r="O120">
        <f>IF(H120="",$Y$24,H120)</f>
        <v>421</v>
      </c>
      <c r="P120">
        <f>IF(I120="",$Z$24,I120)</f>
        <v>294.41000000000003</v>
      </c>
      <c r="Q120">
        <f t="shared" si="6"/>
        <v>123946.61000000002</v>
      </c>
      <c r="R120">
        <f t="shared" si="7"/>
        <v>-37119.569999999978</v>
      </c>
    </row>
    <row r="121" spans="1:18">
      <c r="A121" s="3" t="s">
        <v>166</v>
      </c>
      <c r="B121" s="4" t="s">
        <v>3</v>
      </c>
      <c r="C121" s="4" t="s">
        <v>35</v>
      </c>
      <c r="D121" s="4" t="s">
        <v>9</v>
      </c>
      <c r="E121" s="4" t="s">
        <v>38</v>
      </c>
      <c r="F121" s="4" t="s">
        <v>41</v>
      </c>
      <c r="G121" s="5">
        <v>45046</v>
      </c>
      <c r="H121" s="4">
        <v>69</v>
      </c>
      <c r="I121" s="4">
        <v>345.66</v>
      </c>
      <c r="J121" s="6">
        <v>54.99</v>
      </c>
      <c r="K121">
        <f t="shared" si="4"/>
        <v>78</v>
      </c>
      <c r="L121">
        <f t="shared" si="5"/>
        <v>83</v>
      </c>
      <c r="M121" t="str">
        <f>IF(B121="",$Z$18,B121)</f>
        <v>North</v>
      </c>
      <c r="N121" t="str">
        <f>IF(D121="",$Z$19,D121)</f>
        <v>Beverages</v>
      </c>
      <c r="O121">
        <f>IF(H121="",$Y$24,H121)</f>
        <v>69</v>
      </c>
      <c r="P121">
        <f>IF(I121="",$Z$24,I121)</f>
        <v>345.66</v>
      </c>
      <c r="Q121">
        <f t="shared" si="6"/>
        <v>23850.54</v>
      </c>
      <c r="R121">
        <f t="shared" si="7"/>
        <v>20056.23</v>
      </c>
    </row>
    <row r="122" spans="1:18">
      <c r="A122" s="3" t="s">
        <v>167</v>
      </c>
      <c r="B122" s="4" t="s">
        <v>5</v>
      </c>
      <c r="C122" s="4" t="s">
        <v>31</v>
      </c>
      <c r="D122" s="4" t="s">
        <v>11</v>
      </c>
      <c r="E122" s="4" t="s">
        <v>38</v>
      </c>
      <c r="F122" s="4" t="s">
        <v>36</v>
      </c>
      <c r="G122" s="5">
        <v>45047</v>
      </c>
      <c r="H122" s="4">
        <v>344</v>
      </c>
      <c r="I122" s="4">
        <v>201.7</v>
      </c>
      <c r="J122" s="6">
        <v>42.66</v>
      </c>
      <c r="K122">
        <f t="shared" si="4"/>
        <v>106</v>
      </c>
      <c r="L122">
        <f t="shared" si="5"/>
        <v>70</v>
      </c>
      <c r="M122" t="str">
        <f>IF(B122="",$Z$18,B122)</f>
        <v>West</v>
      </c>
      <c r="N122" t="str">
        <f>IF(D122="",$Z$19,D122)</f>
        <v>Electronics</v>
      </c>
      <c r="O122">
        <f>IF(H122="",$Y$24,H122)</f>
        <v>344</v>
      </c>
      <c r="P122">
        <f>IF(I122="",$Z$24,I122)</f>
        <v>201.7</v>
      </c>
      <c r="Q122">
        <f t="shared" si="6"/>
        <v>69384.800000000003</v>
      </c>
      <c r="R122">
        <f t="shared" si="7"/>
        <v>54709.760000000002</v>
      </c>
    </row>
    <row r="123" spans="1:18">
      <c r="A123" s="3" t="s">
        <v>168</v>
      </c>
      <c r="B123" s="4" t="s">
        <v>5</v>
      </c>
      <c r="C123" s="4" t="s">
        <v>65</v>
      </c>
      <c r="D123" s="4" t="s">
        <v>11</v>
      </c>
      <c r="E123" s="4" t="s">
        <v>32</v>
      </c>
      <c r="F123" s="4" t="s">
        <v>33</v>
      </c>
      <c r="G123" s="5">
        <v>45048</v>
      </c>
      <c r="H123" s="4">
        <v>231</v>
      </c>
      <c r="I123" s="4">
        <v>242.55</v>
      </c>
      <c r="J123" s="6">
        <v>264.16000000000003</v>
      </c>
      <c r="K123">
        <f t="shared" si="4"/>
        <v>106</v>
      </c>
      <c r="L123">
        <f t="shared" si="5"/>
        <v>70</v>
      </c>
      <c r="M123" t="str">
        <f>IF(B123="",$Z$18,B123)</f>
        <v>West</v>
      </c>
      <c r="N123" t="str">
        <f>IF(D123="",$Z$19,D123)</f>
        <v>Electronics</v>
      </c>
      <c r="O123">
        <f>IF(H123="",$Y$24,H123)</f>
        <v>231</v>
      </c>
      <c r="P123">
        <f>IF(I123="",$Z$24,I123)</f>
        <v>242.55</v>
      </c>
      <c r="Q123">
        <f t="shared" si="6"/>
        <v>56029.05</v>
      </c>
      <c r="R123">
        <f t="shared" si="7"/>
        <v>-4991.9100000000035</v>
      </c>
    </row>
    <row r="124" spans="1:18">
      <c r="A124" s="3" t="s">
        <v>169</v>
      </c>
      <c r="B124" s="4" t="s">
        <v>4</v>
      </c>
      <c r="C124" s="4" t="s">
        <v>31</v>
      </c>
      <c r="D124" s="4" t="s">
        <v>10</v>
      </c>
      <c r="E124" s="4" t="s">
        <v>32</v>
      </c>
      <c r="F124" s="4" t="s">
        <v>36</v>
      </c>
      <c r="G124" s="5">
        <v>45049</v>
      </c>
      <c r="H124" s="4">
        <v>46</v>
      </c>
      <c r="I124" s="4">
        <v>344.55</v>
      </c>
      <c r="J124" s="6">
        <v>377.25</v>
      </c>
      <c r="K124">
        <f t="shared" si="4"/>
        <v>75</v>
      </c>
      <c r="L124">
        <f t="shared" si="5"/>
        <v>67</v>
      </c>
      <c r="M124" t="str">
        <f>IF(B124="",$Z$18,B124)</f>
        <v>South</v>
      </c>
      <c r="N124" t="str">
        <f>IF(D124="",$Z$19,D124)</f>
        <v>Clothing</v>
      </c>
      <c r="O124">
        <f>IF(H124="",$Y$24,H124)</f>
        <v>46</v>
      </c>
      <c r="P124">
        <f>IF(I124="",$Z$24,I124)</f>
        <v>344.55</v>
      </c>
      <c r="Q124">
        <f t="shared" si="6"/>
        <v>15849.300000000001</v>
      </c>
      <c r="R124">
        <f t="shared" si="7"/>
        <v>-1504.1999999999989</v>
      </c>
    </row>
    <row r="125" spans="1:18">
      <c r="A125" s="3" t="s">
        <v>170</v>
      </c>
      <c r="B125" s="4" t="s">
        <v>2</v>
      </c>
      <c r="C125" s="4" t="s">
        <v>35</v>
      </c>
      <c r="D125" s="4" t="s">
        <v>9</v>
      </c>
      <c r="E125" s="4" t="s">
        <v>38</v>
      </c>
      <c r="F125" s="4" t="s">
        <v>41</v>
      </c>
      <c r="G125" s="5">
        <v>45050</v>
      </c>
      <c r="H125" s="4">
        <v>486</v>
      </c>
      <c r="I125" s="4">
        <v>13.6</v>
      </c>
      <c r="J125" s="6">
        <v>323.94</v>
      </c>
      <c r="K125">
        <f t="shared" si="4"/>
        <v>91</v>
      </c>
      <c r="L125">
        <f t="shared" si="5"/>
        <v>83</v>
      </c>
      <c r="M125" t="str">
        <f>IF(B125="",$Z$18,B125)</f>
        <v>East</v>
      </c>
      <c r="N125" t="str">
        <f>IF(D125="",$Z$19,D125)</f>
        <v>Beverages</v>
      </c>
      <c r="O125">
        <f>IF(H125="",$Y$24,H125)</f>
        <v>486</v>
      </c>
      <c r="P125">
        <f>IF(I125="",$Z$24,I125)</f>
        <v>13.6</v>
      </c>
      <c r="Q125">
        <f t="shared" si="6"/>
        <v>6609.5999999999995</v>
      </c>
      <c r="R125">
        <f t="shared" si="7"/>
        <v>-150825.24</v>
      </c>
    </row>
    <row r="126" spans="1:18">
      <c r="A126" s="3" t="s">
        <v>171</v>
      </c>
      <c r="B126" s="4" t="s">
        <v>3</v>
      </c>
      <c r="C126" s="4" t="s">
        <v>31</v>
      </c>
      <c r="D126" s="4" t="s">
        <v>9</v>
      </c>
      <c r="E126" s="4" t="s">
        <v>38</v>
      </c>
      <c r="F126" s="4" t="s">
        <v>33</v>
      </c>
      <c r="G126" s="5">
        <v>45051</v>
      </c>
      <c r="H126" s="4">
        <v>287</v>
      </c>
      <c r="I126" s="4">
        <v>164.95</v>
      </c>
      <c r="J126" s="6">
        <v>32.409999999999997</v>
      </c>
      <c r="K126">
        <f t="shared" si="4"/>
        <v>78</v>
      </c>
      <c r="L126">
        <f t="shared" si="5"/>
        <v>83</v>
      </c>
      <c r="M126" t="str">
        <f>IF(B126="",$Z$18,B126)</f>
        <v>North</v>
      </c>
      <c r="N126" t="str">
        <f>IF(D126="",$Z$19,D126)</f>
        <v>Beverages</v>
      </c>
      <c r="O126">
        <f>IF(H126="",$Y$24,H126)</f>
        <v>287</v>
      </c>
      <c r="P126">
        <f>IF(I126="",$Z$24,I126)</f>
        <v>164.95</v>
      </c>
      <c r="Q126">
        <f t="shared" si="6"/>
        <v>47340.649999999994</v>
      </c>
      <c r="R126">
        <f t="shared" si="7"/>
        <v>38038.979999999996</v>
      </c>
    </row>
    <row r="127" spans="1:18">
      <c r="A127" s="3" t="s">
        <v>172</v>
      </c>
      <c r="B127" s="4" t="s">
        <v>5</v>
      </c>
      <c r="C127" s="4" t="s">
        <v>46</v>
      </c>
      <c r="D127" s="4" t="s">
        <v>12</v>
      </c>
      <c r="E127" s="4" t="s">
        <v>32</v>
      </c>
      <c r="F127" s="4" t="s">
        <v>41</v>
      </c>
      <c r="G127" s="5">
        <v>45052</v>
      </c>
      <c r="H127" s="4">
        <v>205</v>
      </c>
      <c r="I127" s="4">
        <v>486.68</v>
      </c>
      <c r="J127" s="6">
        <v>113.19</v>
      </c>
      <c r="K127">
        <f t="shared" si="4"/>
        <v>106</v>
      </c>
      <c r="L127">
        <f t="shared" si="5"/>
        <v>61</v>
      </c>
      <c r="M127" t="str">
        <f>IF(B127="",$Z$18,B127)</f>
        <v>West</v>
      </c>
      <c r="N127" t="str">
        <f>IF(D127="",$Z$19,D127)</f>
        <v>Food</v>
      </c>
      <c r="O127">
        <f>IF(H127="",$Y$24,H127)</f>
        <v>205</v>
      </c>
      <c r="P127">
        <f>IF(I127="",$Z$24,I127)</f>
        <v>486.68</v>
      </c>
      <c r="Q127">
        <f t="shared" si="6"/>
        <v>99769.4</v>
      </c>
      <c r="R127">
        <f t="shared" si="7"/>
        <v>76565.45</v>
      </c>
    </row>
    <row r="128" spans="1:18">
      <c r="A128" s="3" t="s">
        <v>173</v>
      </c>
      <c r="B128" s="4" t="s">
        <v>4</v>
      </c>
      <c r="C128" s="4" t="s">
        <v>31</v>
      </c>
      <c r="D128" s="4" t="s">
        <v>11</v>
      </c>
      <c r="E128" s="4" t="s">
        <v>38</v>
      </c>
      <c r="F128" s="4" t="s">
        <v>41</v>
      </c>
      <c r="G128" s="5">
        <v>45053</v>
      </c>
      <c r="H128" s="4">
        <v>413</v>
      </c>
      <c r="I128" s="4">
        <v>292.16000000000003</v>
      </c>
      <c r="J128" s="6">
        <v>372.27</v>
      </c>
      <c r="K128">
        <f t="shared" si="4"/>
        <v>75</v>
      </c>
      <c r="L128">
        <f t="shared" si="5"/>
        <v>70</v>
      </c>
      <c r="M128" t="str">
        <f>IF(B128="",$Z$18,B128)</f>
        <v>South</v>
      </c>
      <c r="N128" t="str">
        <f>IF(D128="",$Z$19,D128)</f>
        <v>Electronics</v>
      </c>
      <c r="O128">
        <f>IF(H128="",$Y$24,H128)</f>
        <v>413</v>
      </c>
      <c r="P128">
        <f>IF(I128="",$Z$24,I128)</f>
        <v>292.16000000000003</v>
      </c>
      <c r="Q128">
        <f t="shared" si="6"/>
        <v>120662.08000000002</v>
      </c>
      <c r="R128">
        <f t="shared" si="7"/>
        <v>-33085.429999999964</v>
      </c>
    </row>
    <row r="129" spans="1:18">
      <c r="A129" s="3" t="s">
        <v>174</v>
      </c>
      <c r="B129" s="4" t="s">
        <v>3</v>
      </c>
      <c r="C129" s="4" t="s">
        <v>40</v>
      </c>
      <c r="D129" s="4" t="s">
        <v>11</v>
      </c>
      <c r="E129" s="4" t="s">
        <v>38</v>
      </c>
      <c r="F129" s="4" t="s">
        <v>33</v>
      </c>
      <c r="G129" s="5">
        <v>45054</v>
      </c>
      <c r="H129" s="4">
        <v>361</v>
      </c>
      <c r="I129" s="4">
        <v>130.84</v>
      </c>
      <c r="J129" s="6">
        <v>102.72</v>
      </c>
      <c r="K129">
        <f t="shared" si="4"/>
        <v>78</v>
      </c>
      <c r="L129">
        <f t="shared" si="5"/>
        <v>70</v>
      </c>
      <c r="M129" t="str">
        <f>IF(B129="",$Z$18,B129)</f>
        <v>North</v>
      </c>
      <c r="N129" t="str">
        <f>IF(D129="",$Z$19,D129)</f>
        <v>Electronics</v>
      </c>
      <c r="O129">
        <f>IF(H129="",$Y$24,H129)</f>
        <v>361</v>
      </c>
      <c r="P129">
        <f>IF(I129="",$Z$24,I129)</f>
        <v>130.84</v>
      </c>
      <c r="Q129">
        <f t="shared" si="6"/>
        <v>47233.24</v>
      </c>
      <c r="R129">
        <f t="shared" si="7"/>
        <v>10151.32</v>
      </c>
    </row>
    <row r="130" spans="1:18">
      <c r="A130" s="3" t="s">
        <v>175</v>
      </c>
      <c r="B130" s="4" t="s">
        <v>5</v>
      </c>
      <c r="C130" s="4" t="s">
        <v>40</v>
      </c>
      <c r="D130" s="4" t="s">
        <v>13</v>
      </c>
      <c r="E130" s="4" t="s">
        <v>32</v>
      </c>
      <c r="F130" s="4" t="s">
        <v>33</v>
      </c>
      <c r="G130" s="5">
        <v>45055</v>
      </c>
      <c r="H130" s="4">
        <v>493</v>
      </c>
      <c r="I130" s="4">
        <v>263.26</v>
      </c>
      <c r="J130" s="6">
        <v>312.91000000000003</v>
      </c>
      <c r="K130">
        <f t="shared" si="4"/>
        <v>106</v>
      </c>
      <c r="L130">
        <f t="shared" si="5"/>
        <v>69</v>
      </c>
      <c r="M130" t="str">
        <f>IF(B130="",$Z$18,B130)</f>
        <v>West</v>
      </c>
      <c r="N130" t="str">
        <f>IF(D130="",$Z$19,D130)</f>
        <v>Furniture</v>
      </c>
      <c r="O130">
        <f>IF(H130="",$Y$24,H130)</f>
        <v>493</v>
      </c>
      <c r="P130">
        <f>IF(I130="",$Z$24,I130)</f>
        <v>263.26</v>
      </c>
      <c r="Q130">
        <f t="shared" si="6"/>
        <v>129787.18</v>
      </c>
      <c r="R130">
        <f t="shared" si="7"/>
        <v>-24477.450000000012</v>
      </c>
    </row>
    <row r="131" spans="1:18">
      <c r="A131" s="3" t="s">
        <v>176</v>
      </c>
      <c r="B131" s="4" t="s">
        <v>5</v>
      </c>
      <c r="C131" s="4" t="s">
        <v>46</v>
      </c>
      <c r="D131" s="4" t="s">
        <v>12</v>
      </c>
      <c r="E131" s="4" t="s">
        <v>38</v>
      </c>
      <c r="F131" s="4" t="s">
        <v>33</v>
      </c>
      <c r="G131" s="5">
        <v>45056</v>
      </c>
      <c r="H131" s="4">
        <v>251</v>
      </c>
      <c r="I131" s="4">
        <v>174.61</v>
      </c>
      <c r="J131" s="6">
        <v>330.4</v>
      </c>
      <c r="K131">
        <f t="shared" ref="K131:K194" si="8">IF(B131="",0,COUNTIF($B$2:$B$351,B131))</f>
        <v>106</v>
      </c>
      <c r="L131">
        <f t="shared" ref="L131:L194" si="9">IF(D131="",0,COUNTIF($D$2:$D$351,D131))</f>
        <v>61</v>
      </c>
      <c r="M131" t="str">
        <f>IF(B131="",$Z$18,B131)</f>
        <v>West</v>
      </c>
      <c r="N131" t="str">
        <f>IF(D131="",$Z$19,D131)</f>
        <v>Food</v>
      </c>
      <c r="O131">
        <f>IF(H131="",$Y$24,H131)</f>
        <v>251</v>
      </c>
      <c r="P131">
        <f>IF(I131="",$Z$24,I131)</f>
        <v>174.61</v>
      </c>
      <c r="Q131">
        <f t="shared" ref="Q131:Q194" si="10">H131*I131</f>
        <v>43827.11</v>
      </c>
      <c r="R131">
        <f t="shared" ref="R131:R194" si="11">Q131-(H131*J131)</f>
        <v>-39103.289999999994</v>
      </c>
    </row>
    <row r="132" spans="1:18">
      <c r="A132" s="3" t="s">
        <v>177</v>
      </c>
      <c r="B132" s="4" t="s">
        <v>5</v>
      </c>
      <c r="C132" s="4" t="s">
        <v>35</v>
      </c>
      <c r="D132" s="4" t="s">
        <v>13</v>
      </c>
      <c r="E132" s="4" t="s">
        <v>38</v>
      </c>
      <c r="F132" s="4" t="s">
        <v>33</v>
      </c>
      <c r="G132" s="5">
        <v>45057</v>
      </c>
      <c r="H132" s="4">
        <v>255.90294117647059</v>
      </c>
      <c r="I132" s="4">
        <v>268.45999999999998</v>
      </c>
      <c r="J132" s="6">
        <v>199.19</v>
      </c>
      <c r="K132">
        <f t="shared" si="8"/>
        <v>106</v>
      </c>
      <c r="L132">
        <f t="shared" si="9"/>
        <v>69</v>
      </c>
      <c r="M132" t="str">
        <f>IF(B132="",$Z$18,B132)</f>
        <v>West</v>
      </c>
      <c r="N132" t="str">
        <f>IF(D132="",$Z$19,D132)</f>
        <v>Furniture</v>
      </c>
      <c r="O132">
        <f>IF(H132="",$Y$24,H132)</f>
        <v>255.90294117647059</v>
      </c>
      <c r="P132">
        <f>IF(I132="",$Z$24,I132)</f>
        <v>268.45999999999998</v>
      </c>
      <c r="Q132">
        <f t="shared" si="10"/>
        <v>68699.703588235294</v>
      </c>
      <c r="R132">
        <f t="shared" si="11"/>
        <v>17726.396735294118</v>
      </c>
    </row>
    <row r="133" spans="1:18">
      <c r="A133" s="3" t="s">
        <v>178</v>
      </c>
      <c r="B133" s="4" t="s">
        <v>3</v>
      </c>
      <c r="C133" s="4" t="s">
        <v>40</v>
      </c>
      <c r="D133" s="4" t="s">
        <v>13</v>
      </c>
      <c r="E133" s="4" t="s">
        <v>38</v>
      </c>
      <c r="F133" s="4" t="s">
        <v>33</v>
      </c>
      <c r="G133" s="5">
        <v>45058</v>
      </c>
      <c r="H133" s="4">
        <v>228</v>
      </c>
      <c r="I133" s="4">
        <v>67.239999999999995</v>
      </c>
      <c r="J133" s="6">
        <v>155.77000000000001</v>
      </c>
      <c r="K133">
        <f t="shared" si="8"/>
        <v>78</v>
      </c>
      <c r="L133">
        <f t="shared" si="9"/>
        <v>69</v>
      </c>
      <c r="M133" t="str">
        <f>IF(B133="",$Z$18,B133)</f>
        <v>North</v>
      </c>
      <c r="N133" t="str">
        <f>IF(D133="",$Z$19,D133)</f>
        <v>Furniture</v>
      </c>
      <c r="O133">
        <f>IF(H133="",$Y$24,H133)</f>
        <v>228</v>
      </c>
      <c r="P133">
        <f>IF(I133="",$Z$24,I133)</f>
        <v>67.239999999999995</v>
      </c>
      <c r="Q133">
        <f t="shared" si="10"/>
        <v>15330.72</v>
      </c>
      <c r="R133">
        <f t="shared" si="11"/>
        <v>-20184.840000000004</v>
      </c>
    </row>
    <row r="134" spans="1:18">
      <c r="A134" s="3" t="s">
        <v>179</v>
      </c>
      <c r="B134" s="4" t="s">
        <v>3</v>
      </c>
      <c r="C134" s="4" t="s">
        <v>65</v>
      </c>
      <c r="D134" s="4" t="s">
        <v>13</v>
      </c>
      <c r="E134" s="4" t="s">
        <v>32</v>
      </c>
      <c r="F134" s="4" t="s">
        <v>33</v>
      </c>
      <c r="G134" s="5">
        <v>45059</v>
      </c>
      <c r="H134" s="4">
        <v>201</v>
      </c>
      <c r="I134" s="4">
        <v>70.69</v>
      </c>
      <c r="J134" s="6">
        <v>181.15</v>
      </c>
      <c r="K134">
        <f t="shared" si="8"/>
        <v>78</v>
      </c>
      <c r="L134">
        <f t="shared" si="9"/>
        <v>69</v>
      </c>
      <c r="M134" t="str">
        <f>IF(B134="",$Z$18,B134)</f>
        <v>North</v>
      </c>
      <c r="N134" t="str">
        <f>IF(D134="",$Z$19,D134)</f>
        <v>Furniture</v>
      </c>
      <c r="O134">
        <f>IF(H134="",$Y$24,H134)</f>
        <v>201</v>
      </c>
      <c r="P134">
        <f>IF(I134="",$Z$24,I134)</f>
        <v>70.69</v>
      </c>
      <c r="Q134">
        <f t="shared" si="10"/>
        <v>14208.689999999999</v>
      </c>
      <c r="R134">
        <f t="shared" si="11"/>
        <v>-22202.460000000003</v>
      </c>
    </row>
    <row r="135" spans="1:18">
      <c r="A135" s="3" t="s">
        <v>180</v>
      </c>
      <c r="B135" s="4" t="s">
        <v>3</v>
      </c>
      <c r="C135" s="4" t="s">
        <v>40</v>
      </c>
      <c r="D135" s="4" t="s">
        <v>10</v>
      </c>
      <c r="E135" s="4" t="s">
        <v>32</v>
      </c>
      <c r="F135" s="4" t="s">
        <v>33</v>
      </c>
      <c r="G135" s="5">
        <v>45060</v>
      </c>
      <c r="H135" s="4">
        <v>26</v>
      </c>
      <c r="I135" s="4">
        <v>76.05</v>
      </c>
      <c r="J135" s="6">
        <v>92.33</v>
      </c>
      <c r="K135">
        <f t="shared" si="8"/>
        <v>78</v>
      </c>
      <c r="L135">
        <f t="shared" si="9"/>
        <v>67</v>
      </c>
      <c r="M135" t="str">
        <f>IF(B135="",$Z$18,B135)</f>
        <v>North</v>
      </c>
      <c r="N135" t="str">
        <f>IF(D135="",$Z$19,D135)</f>
        <v>Clothing</v>
      </c>
      <c r="O135">
        <f>IF(H135="",$Y$24,H135)</f>
        <v>26</v>
      </c>
      <c r="P135">
        <f>IF(I135="",$Z$24,I135)</f>
        <v>76.05</v>
      </c>
      <c r="Q135">
        <f t="shared" si="10"/>
        <v>1977.3</v>
      </c>
      <c r="R135">
        <f t="shared" si="11"/>
        <v>-423.28</v>
      </c>
    </row>
    <row r="136" spans="1:18">
      <c r="A136" s="3" t="s">
        <v>181</v>
      </c>
      <c r="B136" s="4" t="s">
        <v>2</v>
      </c>
      <c r="C136" s="4" t="s">
        <v>40</v>
      </c>
      <c r="D136" s="4" t="s">
        <v>10</v>
      </c>
      <c r="E136" s="4" t="s">
        <v>32</v>
      </c>
      <c r="F136" s="4" t="s">
        <v>36</v>
      </c>
      <c r="G136" s="5">
        <v>45061</v>
      </c>
      <c r="H136" s="4">
        <v>21</v>
      </c>
      <c r="I136" s="4">
        <v>470.21</v>
      </c>
      <c r="J136" s="6">
        <v>355.98</v>
      </c>
      <c r="K136">
        <f t="shared" si="8"/>
        <v>91</v>
      </c>
      <c r="L136">
        <f t="shared" si="9"/>
        <v>67</v>
      </c>
      <c r="M136" t="str">
        <f>IF(B136="",$Z$18,B136)</f>
        <v>East</v>
      </c>
      <c r="N136" t="str">
        <f>IF(D136="",$Z$19,D136)</f>
        <v>Clothing</v>
      </c>
      <c r="O136">
        <f>IF(H136="",$Y$24,H136)</f>
        <v>21</v>
      </c>
      <c r="P136">
        <f>IF(I136="",$Z$24,I136)</f>
        <v>470.21</v>
      </c>
      <c r="Q136">
        <f t="shared" si="10"/>
        <v>9874.41</v>
      </c>
      <c r="R136">
        <f t="shared" si="11"/>
        <v>2398.83</v>
      </c>
    </row>
    <row r="137" spans="1:18">
      <c r="A137" s="3" t="s">
        <v>182</v>
      </c>
      <c r="B137" s="4" t="s">
        <v>3</v>
      </c>
      <c r="C137" s="4" t="s">
        <v>35</v>
      </c>
      <c r="D137" s="4" t="s">
        <v>13</v>
      </c>
      <c r="E137" s="4" t="s">
        <v>38</v>
      </c>
      <c r="F137" s="4" t="s">
        <v>41</v>
      </c>
      <c r="G137" s="5">
        <v>45062</v>
      </c>
      <c r="H137" s="4">
        <v>415</v>
      </c>
      <c r="I137" s="4">
        <v>367.78</v>
      </c>
      <c r="J137" s="6">
        <v>181.35</v>
      </c>
      <c r="K137">
        <f t="shared" si="8"/>
        <v>78</v>
      </c>
      <c r="L137">
        <f t="shared" si="9"/>
        <v>69</v>
      </c>
      <c r="M137" t="str">
        <f>IF(B137="",$Z$18,B137)</f>
        <v>North</v>
      </c>
      <c r="N137" t="str">
        <f>IF(D137="",$Z$19,D137)</f>
        <v>Furniture</v>
      </c>
      <c r="O137">
        <f>IF(H137="",$Y$24,H137)</f>
        <v>415</v>
      </c>
      <c r="P137">
        <f>IF(I137="",$Z$24,I137)</f>
        <v>367.78</v>
      </c>
      <c r="Q137">
        <f t="shared" si="10"/>
        <v>152628.69999999998</v>
      </c>
      <c r="R137">
        <f t="shared" si="11"/>
        <v>77368.449999999983</v>
      </c>
    </row>
    <row r="138" spans="1:18">
      <c r="A138" s="3" t="s">
        <v>183</v>
      </c>
      <c r="B138" s="4" t="s">
        <v>3</v>
      </c>
      <c r="C138" s="4" t="s">
        <v>31</v>
      </c>
      <c r="D138" s="4" t="s">
        <v>12</v>
      </c>
      <c r="E138" s="4" t="s">
        <v>38</v>
      </c>
      <c r="F138" s="4" t="s">
        <v>33</v>
      </c>
      <c r="G138" s="5">
        <v>45063</v>
      </c>
      <c r="H138" s="4">
        <v>410</v>
      </c>
      <c r="I138" s="4">
        <v>85.38</v>
      </c>
      <c r="J138" s="6">
        <v>353.22</v>
      </c>
      <c r="K138">
        <f t="shared" si="8"/>
        <v>78</v>
      </c>
      <c r="L138">
        <f t="shared" si="9"/>
        <v>61</v>
      </c>
      <c r="M138" t="str">
        <f>IF(B138="",$Z$18,B138)</f>
        <v>North</v>
      </c>
      <c r="N138" t="str">
        <f>IF(D138="",$Z$19,D138)</f>
        <v>Food</v>
      </c>
      <c r="O138">
        <f>IF(H138="",$Y$24,H138)</f>
        <v>410</v>
      </c>
      <c r="P138">
        <f>IF(I138="",$Z$24,I138)</f>
        <v>85.38</v>
      </c>
      <c r="Q138">
        <f t="shared" si="10"/>
        <v>35005.799999999996</v>
      </c>
      <c r="R138">
        <f t="shared" si="11"/>
        <v>-109814.40000000002</v>
      </c>
    </row>
    <row r="139" spans="1:18">
      <c r="A139" s="3" t="s">
        <v>184</v>
      </c>
      <c r="B139" s="4" t="s">
        <v>3</v>
      </c>
      <c r="C139" s="4" t="s">
        <v>40</v>
      </c>
      <c r="D139" s="4" t="s">
        <v>11</v>
      </c>
      <c r="E139" s="4" t="s">
        <v>32</v>
      </c>
      <c r="F139" s="4" t="s">
        <v>36</v>
      </c>
      <c r="G139" s="5">
        <v>45064</v>
      </c>
      <c r="H139" s="4">
        <v>403</v>
      </c>
      <c r="I139" s="4">
        <v>98.23</v>
      </c>
      <c r="J139" s="6">
        <v>44.07</v>
      </c>
      <c r="K139">
        <f t="shared" si="8"/>
        <v>78</v>
      </c>
      <c r="L139">
        <f t="shared" si="9"/>
        <v>70</v>
      </c>
      <c r="M139" t="str">
        <f>IF(B139="",$Z$18,B139)</f>
        <v>North</v>
      </c>
      <c r="N139" t="str">
        <f>IF(D139="",$Z$19,D139)</f>
        <v>Electronics</v>
      </c>
      <c r="O139">
        <f>IF(H139="",$Y$24,H139)</f>
        <v>403</v>
      </c>
      <c r="P139">
        <f>IF(I139="",$Z$24,I139)</f>
        <v>98.23</v>
      </c>
      <c r="Q139">
        <f t="shared" si="10"/>
        <v>39586.69</v>
      </c>
      <c r="R139">
        <f t="shared" si="11"/>
        <v>21826.480000000003</v>
      </c>
    </row>
    <row r="140" spans="1:18">
      <c r="A140" s="3" t="s">
        <v>185</v>
      </c>
      <c r="B140" s="4" t="s">
        <v>2</v>
      </c>
      <c r="C140" s="4" t="s">
        <v>46</v>
      </c>
      <c r="D140" s="4" t="s">
        <v>12</v>
      </c>
      <c r="E140" s="4" t="s">
        <v>38</v>
      </c>
      <c r="F140" s="4" t="s">
        <v>36</v>
      </c>
      <c r="G140" s="5">
        <v>45065</v>
      </c>
      <c r="H140" s="4">
        <v>383</v>
      </c>
      <c r="I140" s="4">
        <v>366.76</v>
      </c>
      <c r="J140" s="6">
        <v>395.33</v>
      </c>
      <c r="K140">
        <f t="shared" si="8"/>
        <v>91</v>
      </c>
      <c r="L140">
        <f t="shared" si="9"/>
        <v>61</v>
      </c>
      <c r="M140" t="str">
        <f>IF(B140="",$Z$18,B140)</f>
        <v>East</v>
      </c>
      <c r="N140" t="str">
        <f>IF(D140="",$Z$19,D140)</f>
        <v>Food</v>
      </c>
      <c r="O140">
        <f>IF(H140="",$Y$24,H140)</f>
        <v>383</v>
      </c>
      <c r="P140">
        <f>IF(I140="",$Z$24,I140)</f>
        <v>366.76</v>
      </c>
      <c r="Q140">
        <f t="shared" si="10"/>
        <v>140469.07999999999</v>
      </c>
      <c r="R140">
        <f t="shared" si="11"/>
        <v>-10942.309999999998</v>
      </c>
    </row>
    <row r="141" spans="1:18">
      <c r="A141" s="3" t="s">
        <v>186</v>
      </c>
      <c r="B141" s="4" t="s">
        <v>3</v>
      </c>
      <c r="C141" s="4" t="s">
        <v>31</v>
      </c>
      <c r="D141" s="4" t="s">
        <v>9</v>
      </c>
      <c r="E141" s="4" t="s">
        <v>38</v>
      </c>
      <c r="F141" s="4" t="s">
        <v>36</v>
      </c>
      <c r="G141" s="5">
        <v>45066</v>
      </c>
      <c r="H141" s="4">
        <v>202</v>
      </c>
      <c r="I141" s="4">
        <v>82.3</v>
      </c>
      <c r="J141" s="6">
        <v>178.42</v>
      </c>
      <c r="K141">
        <f t="shared" si="8"/>
        <v>78</v>
      </c>
      <c r="L141">
        <f t="shared" si="9"/>
        <v>83</v>
      </c>
      <c r="M141" t="str">
        <f>IF(B141="",$Z$18,B141)</f>
        <v>North</v>
      </c>
      <c r="N141" t="str">
        <f>IF(D141="",$Z$19,D141)</f>
        <v>Beverages</v>
      </c>
      <c r="O141">
        <f>IF(H141="",$Y$24,H141)</f>
        <v>202</v>
      </c>
      <c r="P141">
        <f>IF(I141="",$Z$24,I141)</f>
        <v>82.3</v>
      </c>
      <c r="Q141">
        <f t="shared" si="10"/>
        <v>16624.599999999999</v>
      </c>
      <c r="R141">
        <f t="shared" si="11"/>
        <v>-19416.239999999998</v>
      </c>
    </row>
    <row r="142" spans="1:18">
      <c r="A142" s="3" t="s">
        <v>187</v>
      </c>
      <c r="B142" s="4" t="s">
        <v>5</v>
      </c>
      <c r="C142" s="4" t="s">
        <v>65</v>
      </c>
      <c r="D142" s="4" t="s">
        <v>10</v>
      </c>
      <c r="E142" s="4" t="s">
        <v>38</v>
      </c>
      <c r="F142" s="4" t="s">
        <v>41</v>
      </c>
      <c r="G142" s="5">
        <v>45067</v>
      </c>
      <c r="H142" s="4">
        <v>31</v>
      </c>
      <c r="I142" s="4">
        <v>121.11</v>
      </c>
      <c r="J142" s="6">
        <v>21.04</v>
      </c>
      <c r="K142">
        <f t="shared" si="8"/>
        <v>106</v>
      </c>
      <c r="L142">
        <f t="shared" si="9"/>
        <v>67</v>
      </c>
      <c r="M142" t="str">
        <f>IF(B142="",$Z$18,B142)</f>
        <v>West</v>
      </c>
      <c r="N142" t="str">
        <f>IF(D142="",$Z$19,D142)</f>
        <v>Clothing</v>
      </c>
      <c r="O142">
        <f>IF(H142="",$Y$24,H142)</f>
        <v>31</v>
      </c>
      <c r="P142">
        <f>IF(I142="",$Z$24,I142)</f>
        <v>121.11</v>
      </c>
      <c r="Q142">
        <f t="shared" si="10"/>
        <v>3754.41</v>
      </c>
      <c r="R142">
        <f t="shared" si="11"/>
        <v>3102.17</v>
      </c>
    </row>
    <row r="143" spans="1:18">
      <c r="A143" s="3" t="s">
        <v>188</v>
      </c>
      <c r="B143" s="4" t="s">
        <v>3</v>
      </c>
      <c r="C143" s="4" t="s">
        <v>35</v>
      </c>
      <c r="D143" s="4" t="s">
        <v>11</v>
      </c>
      <c r="E143" s="4" t="s">
        <v>38</v>
      </c>
      <c r="F143" s="4" t="s">
        <v>33</v>
      </c>
      <c r="G143" s="5">
        <v>45068</v>
      </c>
      <c r="H143" s="4">
        <v>483</v>
      </c>
      <c r="I143" s="4">
        <v>481.86</v>
      </c>
      <c r="J143" s="6">
        <v>17.13</v>
      </c>
      <c r="K143">
        <f t="shared" si="8"/>
        <v>78</v>
      </c>
      <c r="L143">
        <f t="shared" si="9"/>
        <v>70</v>
      </c>
      <c r="M143" t="str">
        <f>IF(B143="",$Z$18,B143)</f>
        <v>North</v>
      </c>
      <c r="N143" t="str">
        <f>IF(D143="",$Z$19,D143)</f>
        <v>Electronics</v>
      </c>
      <c r="O143">
        <f>IF(H143="",$Y$24,H143)</f>
        <v>483</v>
      </c>
      <c r="P143">
        <f>IF(I143="",$Z$24,I143)</f>
        <v>481.86</v>
      </c>
      <c r="Q143">
        <f t="shared" si="10"/>
        <v>232738.38</v>
      </c>
      <c r="R143">
        <f t="shared" si="11"/>
        <v>224464.59</v>
      </c>
    </row>
    <row r="144" spans="1:18">
      <c r="A144" s="3" t="s">
        <v>189</v>
      </c>
      <c r="B144" s="4" t="s">
        <v>5</v>
      </c>
      <c r="C144" s="4" t="s">
        <v>65</v>
      </c>
      <c r="D144" s="4" t="s">
        <v>11</v>
      </c>
      <c r="E144" s="4" t="s">
        <v>38</v>
      </c>
      <c r="F144" s="4" t="s">
        <v>36</v>
      </c>
      <c r="G144" s="5">
        <v>45069</v>
      </c>
      <c r="H144" s="4">
        <v>129</v>
      </c>
      <c r="I144" s="4">
        <v>131.38</v>
      </c>
      <c r="J144" s="6">
        <v>298.99</v>
      </c>
      <c r="K144">
        <f t="shared" si="8"/>
        <v>106</v>
      </c>
      <c r="L144">
        <f t="shared" si="9"/>
        <v>70</v>
      </c>
      <c r="M144" t="str">
        <f>IF(B144="",$Z$18,B144)</f>
        <v>West</v>
      </c>
      <c r="N144" t="str">
        <f>IF(D144="",$Z$19,D144)</f>
        <v>Electronics</v>
      </c>
      <c r="O144">
        <f>IF(H144="",$Y$24,H144)</f>
        <v>129</v>
      </c>
      <c r="P144">
        <f>IF(I144="",$Z$24,I144)</f>
        <v>131.38</v>
      </c>
      <c r="Q144">
        <f t="shared" si="10"/>
        <v>16948.02</v>
      </c>
      <c r="R144">
        <f t="shared" si="11"/>
        <v>-21621.69</v>
      </c>
    </row>
    <row r="145" spans="1:18">
      <c r="A145" s="3" t="s">
        <v>190</v>
      </c>
      <c r="B145" s="4" t="s">
        <v>5</v>
      </c>
      <c r="C145" s="4" t="s">
        <v>31</v>
      </c>
      <c r="D145" s="4" t="s">
        <v>9</v>
      </c>
      <c r="E145" s="4" t="s">
        <v>32</v>
      </c>
      <c r="F145" s="4" t="s">
        <v>41</v>
      </c>
      <c r="G145" s="5">
        <v>45070</v>
      </c>
      <c r="H145" s="4">
        <v>219</v>
      </c>
      <c r="I145" s="4">
        <v>332.51</v>
      </c>
      <c r="J145" s="6">
        <v>264.3</v>
      </c>
      <c r="K145">
        <f t="shared" si="8"/>
        <v>106</v>
      </c>
      <c r="L145">
        <f t="shared" si="9"/>
        <v>83</v>
      </c>
      <c r="M145" t="str">
        <f>IF(B145="",$Z$18,B145)</f>
        <v>West</v>
      </c>
      <c r="N145" t="str">
        <f>IF(D145="",$Z$19,D145)</f>
        <v>Beverages</v>
      </c>
      <c r="O145">
        <f>IF(H145="",$Y$24,H145)</f>
        <v>219</v>
      </c>
      <c r="P145">
        <f>IF(I145="",$Z$24,I145)</f>
        <v>332.51</v>
      </c>
      <c r="Q145">
        <f t="shared" si="10"/>
        <v>72819.69</v>
      </c>
      <c r="R145">
        <f t="shared" si="11"/>
        <v>14937.989999999998</v>
      </c>
    </row>
    <row r="146" spans="1:18">
      <c r="A146" s="3" t="s">
        <v>191</v>
      </c>
      <c r="B146" s="4" t="s">
        <v>5</v>
      </c>
      <c r="C146" s="4" t="s">
        <v>31</v>
      </c>
      <c r="D146" s="4" t="s">
        <v>9</v>
      </c>
      <c r="E146" s="4" t="s">
        <v>38</v>
      </c>
      <c r="F146" s="4" t="s">
        <v>41</v>
      </c>
      <c r="G146" s="5">
        <v>45071</v>
      </c>
      <c r="H146" s="4">
        <v>315</v>
      </c>
      <c r="I146" s="4">
        <v>489.42</v>
      </c>
      <c r="J146" s="6">
        <v>321.25</v>
      </c>
      <c r="K146">
        <f t="shared" si="8"/>
        <v>106</v>
      </c>
      <c r="L146">
        <f t="shared" si="9"/>
        <v>83</v>
      </c>
      <c r="M146" t="str">
        <f>IF(B146="",$Z$18,B146)</f>
        <v>West</v>
      </c>
      <c r="N146" t="str">
        <f>IF(D146="",$Z$19,D146)</f>
        <v>Beverages</v>
      </c>
      <c r="O146">
        <f>IF(H146="",$Y$24,H146)</f>
        <v>315</v>
      </c>
      <c r="P146">
        <f>IF(I146="",$Z$24,I146)</f>
        <v>489.42</v>
      </c>
      <c r="Q146">
        <f t="shared" si="10"/>
        <v>154167.30000000002</v>
      </c>
      <c r="R146">
        <f t="shared" si="11"/>
        <v>52973.550000000017</v>
      </c>
    </row>
    <row r="147" spans="1:18">
      <c r="A147" s="3" t="s">
        <v>192</v>
      </c>
      <c r="B147" s="4" t="s">
        <v>2</v>
      </c>
      <c r="C147" s="4" t="s">
        <v>31</v>
      </c>
      <c r="D147" s="4" t="s">
        <v>13</v>
      </c>
      <c r="E147" s="4" t="s">
        <v>32</v>
      </c>
      <c r="F147" s="4" t="s">
        <v>41</v>
      </c>
      <c r="G147" s="5">
        <v>45072</v>
      </c>
      <c r="H147" s="4">
        <v>279</v>
      </c>
      <c r="I147" s="4">
        <v>190.28</v>
      </c>
      <c r="J147" s="6">
        <v>43.94</v>
      </c>
      <c r="K147">
        <f t="shared" si="8"/>
        <v>91</v>
      </c>
      <c r="L147">
        <f t="shared" si="9"/>
        <v>69</v>
      </c>
      <c r="M147" t="str">
        <f>IF(B147="",$Z$18,B147)</f>
        <v>East</v>
      </c>
      <c r="N147" t="str">
        <f>IF(D147="",$Z$19,D147)</f>
        <v>Furniture</v>
      </c>
      <c r="O147">
        <f>IF(H147="",$Y$24,H147)</f>
        <v>279</v>
      </c>
      <c r="P147">
        <f>IF(I147="",$Z$24,I147)</f>
        <v>190.28</v>
      </c>
      <c r="Q147">
        <f t="shared" si="10"/>
        <v>53088.12</v>
      </c>
      <c r="R147">
        <f t="shared" si="11"/>
        <v>40828.86</v>
      </c>
    </row>
    <row r="148" spans="1:18">
      <c r="A148" s="3" t="s">
        <v>193</v>
      </c>
      <c r="B148" s="4" t="s">
        <v>2</v>
      </c>
      <c r="C148" s="4" t="s">
        <v>65</v>
      </c>
      <c r="D148" s="4" t="s">
        <v>10</v>
      </c>
      <c r="E148" s="4" t="s">
        <v>38</v>
      </c>
      <c r="F148" s="4" t="s">
        <v>36</v>
      </c>
      <c r="G148" s="5">
        <v>45073</v>
      </c>
      <c r="H148" s="4">
        <v>201</v>
      </c>
      <c r="I148" s="4">
        <v>13.67</v>
      </c>
      <c r="J148" s="6">
        <v>16.16</v>
      </c>
      <c r="K148">
        <f t="shared" si="8"/>
        <v>91</v>
      </c>
      <c r="L148">
        <f t="shared" si="9"/>
        <v>67</v>
      </c>
      <c r="M148" t="str">
        <f>IF(B148="",$Z$18,B148)</f>
        <v>East</v>
      </c>
      <c r="N148" t="str">
        <f>IF(D148="",$Z$19,D148)</f>
        <v>Clothing</v>
      </c>
      <c r="O148">
        <f>IF(H148="",$Y$24,H148)</f>
        <v>201</v>
      </c>
      <c r="P148">
        <f>IF(I148="",$Z$24,I148)</f>
        <v>13.67</v>
      </c>
      <c r="Q148">
        <f t="shared" si="10"/>
        <v>2747.67</v>
      </c>
      <c r="R148">
        <f t="shared" si="11"/>
        <v>-500.48999999999978</v>
      </c>
    </row>
    <row r="149" spans="1:18">
      <c r="A149" s="3" t="s">
        <v>194</v>
      </c>
      <c r="B149" s="4" t="s">
        <v>2</v>
      </c>
      <c r="C149" s="4" t="s">
        <v>31</v>
      </c>
      <c r="D149" s="4" t="s">
        <v>10</v>
      </c>
      <c r="E149" s="4" t="s">
        <v>32</v>
      </c>
      <c r="F149" s="4" t="s">
        <v>33</v>
      </c>
      <c r="G149" s="5">
        <v>45074</v>
      </c>
      <c r="H149" s="4">
        <v>184</v>
      </c>
      <c r="I149" s="4">
        <v>125.85</v>
      </c>
      <c r="J149" s="6">
        <v>204.41</v>
      </c>
      <c r="K149">
        <f t="shared" si="8"/>
        <v>91</v>
      </c>
      <c r="L149">
        <f t="shared" si="9"/>
        <v>67</v>
      </c>
      <c r="M149" t="str">
        <f>IF(B149="",$Z$18,B149)</f>
        <v>East</v>
      </c>
      <c r="N149" t="str">
        <f>IF(D149="",$Z$19,D149)</f>
        <v>Clothing</v>
      </c>
      <c r="O149">
        <f>IF(H149="",$Y$24,H149)</f>
        <v>184</v>
      </c>
      <c r="P149">
        <f>IF(I149="",$Z$24,I149)</f>
        <v>125.85</v>
      </c>
      <c r="Q149">
        <f t="shared" si="10"/>
        <v>23156.399999999998</v>
      </c>
      <c r="R149">
        <f t="shared" si="11"/>
        <v>-14455.040000000005</v>
      </c>
    </row>
    <row r="150" spans="1:18">
      <c r="A150" s="3" t="s">
        <v>195</v>
      </c>
      <c r="B150" s="4" t="s">
        <v>3</v>
      </c>
      <c r="C150" s="4" t="s">
        <v>65</v>
      </c>
      <c r="D150" s="4" t="s">
        <v>12</v>
      </c>
      <c r="E150" s="4" t="s">
        <v>38</v>
      </c>
      <c r="F150" s="4" t="s">
        <v>36</v>
      </c>
      <c r="G150" s="5">
        <v>45075</v>
      </c>
      <c r="H150" s="4">
        <v>294</v>
      </c>
      <c r="I150" s="4">
        <v>416.28</v>
      </c>
      <c r="J150" s="6">
        <v>156.26</v>
      </c>
      <c r="K150">
        <f t="shared" si="8"/>
        <v>78</v>
      </c>
      <c r="L150">
        <f t="shared" si="9"/>
        <v>61</v>
      </c>
      <c r="M150" t="str">
        <f>IF(B150="",$Z$18,B150)</f>
        <v>North</v>
      </c>
      <c r="N150" t="str">
        <f>IF(D150="",$Z$19,D150)</f>
        <v>Food</v>
      </c>
      <c r="O150">
        <f>IF(H150="",$Y$24,H150)</f>
        <v>294</v>
      </c>
      <c r="P150">
        <f>IF(I150="",$Z$24,I150)</f>
        <v>416.28</v>
      </c>
      <c r="Q150">
        <f t="shared" si="10"/>
        <v>122386.31999999999</v>
      </c>
      <c r="R150">
        <f t="shared" si="11"/>
        <v>76445.88</v>
      </c>
    </row>
    <row r="151" spans="1:18">
      <c r="A151" s="3" t="s">
        <v>196</v>
      </c>
      <c r="B151" s="4" t="s">
        <v>5</v>
      </c>
      <c r="C151" s="4" t="s">
        <v>31</v>
      </c>
      <c r="D151" s="4" t="s">
        <v>13</v>
      </c>
      <c r="E151" s="4" t="s">
        <v>32</v>
      </c>
      <c r="F151" s="4" t="s">
        <v>36</v>
      </c>
      <c r="G151" s="5">
        <v>45076</v>
      </c>
      <c r="H151" s="4">
        <v>213</v>
      </c>
      <c r="I151" s="4">
        <v>432.98</v>
      </c>
      <c r="J151" s="6">
        <v>185.85</v>
      </c>
      <c r="K151">
        <f t="shared" si="8"/>
        <v>106</v>
      </c>
      <c r="L151">
        <f t="shared" si="9"/>
        <v>69</v>
      </c>
      <c r="M151" t="str">
        <f>IF(B151="",$Z$18,B151)</f>
        <v>West</v>
      </c>
      <c r="N151" t="str">
        <f>IF(D151="",$Z$19,D151)</f>
        <v>Furniture</v>
      </c>
      <c r="O151">
        <f>IF(H151="",$Y$24,H151)</f>
        <v>213</v>
      </c>
      <c r="P151">
        <f>IF(I151="",$Z$24,I151)</f>
        <v>432.98</v>
      </c>
      <c r="Q151">
        <f t="shared" si="10"/>
        <v>92224.74</v>
      </c>
      <c r="R151">
        <f t="shared" si="11"/>
        <v>52638.69000000001</v>
      </c>
    </row>
    <row r="152" spans="1:18">
      <c r="A152" s="3" t="s">
        <v>197</v>
      </c>
      <c r="B152" s="4" t="s">
        <v>2</v>
      </c>
      <c r="C152" s="4" t="s">
        <v>46</v>
      </c>
      <c r="D152" s="4" t="s">
        <v>13</v>
      </c>
      <c r="E152" s="4" t="s">
        <v>38</v>
      </c>
      <c r="F152" s="4" t="s">
        <v>33</v>
      </c>
      <c r="G152" s="5">
        <v>45077</v>
      </c>
      <c r="H152" s="4">
        <v>173</v>
      </c>
      <c r="I152" s="4">
        <v>385.42</v>
      </c>
      <c r="J152" s="6">
        <v>396.65</v>
      </c>
      <c r="K152">
        <f t="shared" si="8"/>
        <v>91</v>
      </c>
      <c r="L152">
        <f t="shared" si="9"/>
        <v>69</v>
      </c>
      <c r="M152" t="str">
        <f>IF(B152="",$Z$18,B152)</f>
        <v>East</v>
      </c>
      <c r="N152" t="str">
        <f>IF(D152="",$Z$19,D152)</f>
        <v>Furniture</v>
      </c>
      <c r="O152">
        <f>IF(H152="",$Y$24,H152)</f>
        <v>173</v>
      </c>
      <c r="P152">
        <f>IF(I152="",$Z$24,I152)</f>
        <v>385.42</v>
      </c>
      <c r="Q152">
        <f t="shared" si="10"/>
        <v>66677.66</v>
      </c>
      <c r="R152">
        <f t="shared" si="11"/>
        <v>-1942.7899999999936</v>
      </c>
    </row>
    <row r="153" spans="1:18">
      <c r="A153" s="3" t="s">
        <v>198</v>
      </c>
      <c r="B153" s="4" t="s">
        <v>2</v>
      </c>
      <c r="C153" s="4" t="s">
        <v>31</v>
      </c>
      <c r="D153" s="4" t="s">
        <v>13</v>
      </c>
      <c r="E153" s="4" t="s">
        <v>32</v>
      </c>
      <c r="F153" s="4" t="s">
        <v>33</v>
      </c>
      <c r="G153" s="5">
        <v>45078</v>
      </c>
      <c r="H153" s="4">
        <v>260</v>
      </c>
      <c r="I153" s="4">
        <v>60.99</v>
      </c>
      <c r="J153" s="6">
        <v>388.36</v>
      </c>
      <c r="K153">
        <f t="shared" si="8"/>
        <v>91</v>
      </c>
      <c r="L153">
        <f t="shared" si="9"/>
        <v>69</v>
      </c>
      <c r="M153" t="str">
        <f>IF(B153="",$Z$18,B153)</f>
        <v>East</v>
      </c>
      <c r="N153" t="str">
        <f>IF(D153="",$Z$19,D153)</f>
        <v>Furniture</v>
      </c>
      <c r="O153">
        <f>IF(H153="",$Y$24,H153)</f>
        <v>260</v>
      </c>
      <c r="P153">
        <f>IF(I153="",$Z$24,I153)</f>
        <v>60.99</v>
      </c>
      <c r="Q153">
        <f t="shared" si="10"/>
        <v>15857.4</v>
      </c>
      <c r="R153">
        <f t="shared" si="11"/>
        <v>-85116.200000000012</v>
      </c>
    </row>
    <row r="154" spans="1:18">
      <c r="A154" s="3" t="s">
        <v>199</v>
      </c>
      <c r="B154" s="4" t="s">
        <v>3</v>
      </c>
      <c r="C154" s="4" t="s">
        <v>65</v>
      </c>
      <c r="D154" s="4" t="s">
        <v>13</v>
      </c>
      <c r="E154" s="4" t="s">
        <v>38</v>
      </c>
      <c r="F154" s="4" t="s">
        <v>33</v>
      </c>
      <c r="G154" s="5">
        <v>45079</v>
      </c>
      <c r="H154" s="4">
        <v>236</v>
      </c>
      <c r="I154" s="4">
        <v>398.78</v>
      </c>
      <c r="J154" s="6">
        <v>377.04</v>
      </c>
      <c r="K154">
        <f t="shared" si="8"/>
        <v>78</v>
      </c>
      <c r="L154">
        <f t="shared" si="9"/>
        <v>69</v>
      </c>
      <c r="M154" t="str">
        <f>IF(B154="",$Z$18,B154)</f>
        <v>North</v>
      </c>
      <c r="N154" t="str">
        <f>IF(D154="",$Z$19,D154)</f>
        <v>Furniture</v>
      </c>
      <c r="O154">
        <f>IF(H154="",$Y$24,H154)</f>
        <v>236</v>
      </c>
      <c r="P154">
        <f>IF(I154="",$Z$24,I154)</f>
        <v>398.78</v>
      </c>
      <c r="Q154">
        <f t="shared" si="10"/>
        <v>94112.079999999987</v>
      </c>
      <c r="R154">
        <f t="shared" si="11"/>
        <v>5130.6399999999849</v>
      </c>
    </row>
    <row r="155" spans="1:18">
      <c r="A155" s="3" t="s">
        <v>200</v>
      </c>
      <c r="B155" s="4" t="s">
        <v>2</v>
      </c>
      <c r="C155" s="4" t="s">
        <v>40</v>
      </c>
      <c r="D155" s="4" t="s">
        <v>10</v>
      </c>
      <c r="E155" s="4" t="s">
        <v>32</v>
      </c>
      <c r="F155" s="4" t="s">
        <v>41</v>
      </c>
      <c r="G155" s="5">
        <v>45080</v>
      </c>
      <c r="H155" s="4">
        <v>445</v>
      </c>
      <c r="I155" s="4">
        <v>459.75</v>
      </c>
      <c r="J155" s="6">
        <v>313.97000000000003</v>
      </c>
      <c r="K155">
        <f t="shared" si="8"/>
        <v>91</v>
      </c>
      <c r="L155">
        <f t="shared" si="9"/>
        <v>67</v>
      </c>
      <c r="M155" t="str">
        <f>IF(B155="",$Z$18,B155)</f>
        <v>East</v>
      </c>
      <c r="N155" t="str">
        <f>IF(D155="",$Z$19,D155)</f>
        <v>Clothing</v>
      </c>
      <c r="O155">
        <f>IF(H155="",$Y$24,H155)</f>
        <v>445</v>
      </c>
      <c r="P155">
        <f>IF(I155="",$Z$24,I155)</f>
        <v>459.75</v>
      </c>
      <c r="Q155">
        <f t="shared" si="10"/>
        <v>204588.75</v>
      </c>
      <c r="R155">
        <f t="shared" si="11"/>
        <v>64872.099999999977</v>
      </c>
    </row>
    <row r="156" spans="1:18">
      <c r="A156" s="3" t="s">
        <v>201</v>
      </c>
      <c r="B156" s="4" t="s">
        <v>3</v>
      </c>
      <c r="C156" s="4" t="s">
        <v>31</v>
      </c>
      <c r="D156" s="4" t="s">
        <v>10</v>
      </c>
      <c r="E156" s="4" t="s">
        <v>38</v>
      </c>
      <c r="F156" s="4" t="s">
        <v>33</v>
      </c>
      <c r="G156" s="5">
        <v>45081</v>
      </c>
      <c r="H156" s="4">
        <v>390</v>
      </c>
      <c r="I156" s="4">
        <v>302.3</v>
      </c>
      <c r="J156" s="6">
        <v>143.22999999999999</v>
      </c>
      <c r="K156">
        <f t="shared" si="8"/>
        <v>78</v>
      </c>
      <c r="L156">
        <f t="shared" si="9"/>
        <v>67</v>
      </c>
      <c r="M156" t="str">
        <f>IF(B156="",$Z$18,B156)</f>
        <v>North</v>
      </c>
      <c r="N156" t="str">
        <f>IF(D156="",$Z$19,D156)</f>
        <v>Clothing</v>
      </c>
      <c r="O156">
        <f>IF(H156="",$Y$24,H156)</f>
        <v>390</v>
      </c>
      <c r="P156">
        <f>IF(I156="",$Z$24,I156)</f>
        <v>302.3</v>
      </c>
      <c r="Q156">
        <f t="shared" si="10"/>
        <v>117897</v>
      </c>
      <c r="R156">
        <f t="shared" si="11"/>
        <v>62037.3</v>
      </c>
    </row>
    <row r="157" spans="1:18">
      <c r="A157" s="3" t="s">
        <v>202</v>
      </c>
      <c r="B157" s="4" t="s">
        <v>4</v>
      </c>
      <c r="C157" s="4" t="s">
        <v>40</v>
      </c>
      <c r="D157" s="4" t="s">
        <v>13</v>
      </c>
      <c r="E157" s="4" t="s">
        <v>32</v>
      </c>
      <c r="F157" s="4" t="s">
        <v>36</v>
      </c>
      <c r="G157" s="5">
        <v>45082</v>
      </c>
      <c r="H157" s="4">
        <v>469</v>
      </c>
      <c r="I157" s="4">
        <v>470.73</v>
      </c>
      <c r="J157" s="6">
        <v>166.03</v>
      </c>
      <c r="K157">
        <f t="shared" si="8"/>
        <v>75</v>
      </c>
      <c r="L157">
        <f t="shared" si="9"/>
        <v>69</v>
      </c>
      <c r="M157" t="str">
        <f>IF(B157="",$Z$18,B157)</f>
        <v>South</v>
      </c>
      <c r="N157" t="str">
        <f>IF(D157="",$Z$19,D157)</f>
        <v>Furniture</v>
      </c>
      <c r="O157">
        <f>IF(H157="",$Y$24,H157)</f>
        <v>469</v>
      </c>
      <c r="P157">
        <f>IF(I157="",$Z$24,I157)</f>
        <v>470.73</v>
      </c>
      <c r="Q157">
        <f t="shared" si="10"/>
        <v>220772.37</v>
      </c>
      <c r="R157">
        <f t="shared" si="11"/>
        <v>142904.29999999999</v>
      </c>
    </row>
    <row r="158" spans="1:18">
      <c r="A158" s="3" t="s">
        <v>203</v>
      </c>
      <c r="B158" s="4" t="s">
        <v>2</v>
      </c>
      <c r="C158" s="4" t="s">
        <v>46</v>
      </c>
      <c r="D158" s="4" t="s">
        <v>12</v>
      </c>
      <c r="E158" s="4" t="s">
        <v>32</v>
      </c>
      <c r="F158" s="4" t="s">
        <v>33</v>
      </c>
      <c r="G158" s="5">
        <v>45083</v>
      </c>
      <c r="H158" s="4">
        <v>16</v>
      </c>
      <c r="I158" s="4">
        <v>249.64520588235297</v>
      </c>
      <c r="J158" s="6">
        <v>220.75</v>
      </c>
      <c r="K158">
        <f t="shared" si="8"/>
        <v>91</v>
      </c>
      <c r="L158">
        <f t="shared" si="9"/>
        <v>61</v>
      </c>
      <c r="M158" t="str">
        <f>IF(B158="",$Z$18,B158)</f>
        <v>East</v>
      </c>
      <c r="N158" t="str">
        <f>IF(D158="",$Z$19,D158)</f>
        <v>Food</v>
      </c>
      <c r="O158">
        <f>IF(H158="",$Y$24,H158)</f>
        <v>16</v>
      </c>
      <c r="P158">
        <f>IF(I158="",$Z$24,I158)</f>
        <v>249.64520588235297</v>
      </c>
      <c r="Q158">
        <f t="shared" si="10"/>
        <v>3994.3232941176475</v>
      </c>
      <c r="R158">
        <f t="shared" si="11"/>
        <v>462.32329411764749</v>
      </c>
    </row>
    <row r="159" spans="1:18">
      <c r="A159" s="3" t="s">
        <v>204</v>
      </c>
      <c r="B159" s="4" t="s">
        <v>4</v>
      </c>
      <c r="C159" s="4" t="s">
        <v>35</v>
      </c>
      <c r="D159" s="4" t="s">
        <v>11</v>
      </c>
      <c r="E159" s="4" t="s">
        <v>38</v>
      </c>
      <c r="F159" s="4" t="s">
        <v>36</v>
      </c>
      <c r="G159" s="5">
        <v>45084</v>
      </c>
      <c r="H159" s="4">
        <v>38</v>
      </c>
      <c r="I159" s="4">
        <v>335.15</v>
      </c>
      <c r="J159" s="6">
        <v>332.55</v>
      </c>
      <c r="K159">
        <f t="shared" si="8"/>
        <v>75</v>
      </c>
      <c r="L159">
        <f t="shared" si="9"/>
        <v>70</v>
      </c>
      <c r="M159" t="str">
        <f>IF(B159="",$Z$18,B159)</f>
        <v>South</v>
      </c>
      <c r="N159" t="str">
        <f>IF(D159="",$Z$19,D159)</f>
        <v>Electronics</v>
      </c>
      <c r="O159">
        <f>IF(H159="",$Y$24,H159)</f>
        <v>38</v>
      </c>
      <c r="P159">
        <f>IF(I159="",$Z$24,I159)</f>
        <v>335.15</v>
      </c>
      <c r="Q159">
        <f t="shared" si="10"/>
        <v>12735.699999999999</v>
      </c>
      <c r="R159">
        <f t="shared" si="11"/>
        <v>98.799999999999272</v>
      </c>
    </row>
    <row r="160" spans="1:18">
      <c r="A160" s="3" t="s">
        <v>205</v>
      </c>
      <c r="B160" s="4" t="s">
        <v>3</v>
      </c>
      <c r="C160" s="4" t="s">
        <v>46</v>
      </c>
      <c r="D160" s="4" t="s">
        <v>9</v>
      </c>
      <c r="E160" s="4" t="s">
        <v>38</v>
      </c>
      <c r="F160" s="4" t="s">
        <v>41</v>
      </c>
      <c r="G160" s="5">
        <v>45085</v>
      </c>
      <c r="H160" s="4">
        <v>404</v>
      </c>
      <c r="I160" s="4">
        <v>290.70999999999998</v>
      </c>
      <c r="J160" s="6">
        <v>29.35</v>
      </c>
      <c r="K160">
        <f t="shared" si="8"/>
        <v>78</v>
      </c>
      <c r="L160">
        <f t="shared" si="9"/>
        <v>83</v>
      </c>
      <c r="M160" t="str">
        <f>IF(B160="",$Z$18,B160)</f>
        <v>North</v>
      </c>
      <c r="N160" t="str">
        <f>IF(D160="",$Z$19,D160)</f>
        <v>Beverages</v>
      </c>
      <c r="O160">
        <f>IF(H160="",$Y$24,H160)</f>
        <v>404</v>
      </c>
      <c r="P160">
        <f>IF(I160="",$Z$24,I160)</f>
        <v>290.70999999999998</v>
      </c>
      <c r="Q160">
        <f t="shared" si="10"/>
        <v>117446.84</v>
      </c>
      <c r="R160">
        <f t="shared" si="11"/>
        <v>105589.44</v>
      </c>
    </row>
    <row r="161" spans="1:18">
      <c r="A161" s="3" t="s">
        <v>206</v>
      </c>
      <c r="B161" s="4" t="s">
        <v>5</v>
      </c>
      <c r="C161" s="4" t="s">
        <v>31</v>
      </c>
      <c r="D161" s="4" t="s">
        <v>12</v>
      </c>
      <c r="E161" s="4" t="s">
        <v>32</v>
      </c>
      <c r="F161" s="4" t="s">
        <v>36</v>
      </c>
      <c r="G161" s="5">
        <v>45086</v>
      </c>
      <c r="H161" s="4">
        <v>42</v>
      </c>
      <c r="I161" s="4">
        <v>177.54</v>
      </c>
      <c r="J161" s="6">
        <v>170.87</v>
      </c>
      <c r="K161">
        <f t="shared" si="8"/>
        <v>106</v>
      </c>
      <c r="L161">
        <f t="shared" si="9"/>
        <v>61</v>
      </c>
      <c r="M161" t="str">
        <f>IF(B161="",$Z$18,B161)</f>
        <v>West</v>
      </c>
      <c r="N161" t="str">
        <f>IF(D161="",$Z$19,D161)</f>
        <v>Food</v>
      </c>
      <c r="O161">
        <f>IF(H161="",$Y$24,H161)</f>
        <v>42</v>
      </c>
      <c r="P161">
        <f>IF(I161="",$Z$24,I161)</f>
        <v>177.54</v>
      </c>
      <c r="Q161">
        <f t="shared" si="10"/>
        <v>7456.6799999999994</v>
      </c>
      <c r="R161">
        <f t="shared" si="11"/>
        <v>280.13999999999942</v>
      </c>
    </row>
    <row r="162" spans="1:18">
      <c r="A162" s="3" t="s">
        <v>207</v>
      </c>
      <c r="B162" s="4" t="s">
        <v>2</v>
      </c>
      <c r="C162" s="4" t="s">
        <v>40</v>
      </c>
      <c r="D162" s="4" t="s">
        <v>13</v>
      </c>
      <c r="E162" s="4" t="s">
        <v>38</v>
      </c>
      <c r="F162" s="4" t="s">
        <v>36</v>
      </c>
      <c r="G162" s="5">
        <v>45087</v>
      </c>
      <c r="H162" s="4">
        <v>143</v>
      </c>
      <c r="I162" s="4">
        <v>83.85</v>
      </c>
      <c r="J162" s="6">
        <v>34.880000000000003</v>
      </c>
      <c r="K162">
        <f t="shared" si="8"/>
        <v>91</v>
      </c>
      <c r="L162">
        <f t="shared" si="9"/>
        <v>69</v>
      </c>
      <c r="M162" t="str">
        <f>IF(B162="",$Z$18,B162)</f>
        <v>East</v>
      </c>
      <c r="N162" t="str">
        <f>IF(D162="",$Z$19,D162)</f>
        <v>Furniture</v>
      </c>
      <c r="O162">
        <f>IF(H162="",$Y$24,H162)</f>
        <v>143</v>
      </c>
      <c r="P162">
        <f>IF(I162="",$Z$24,I162)</f>
        <v>83.85</v>
      </c>
      <c r="Q162">
        <f t="shared" si="10"/>
        <v>11990.55</v>
      </c>
      <c r="R162">
        <f t="shared" si="11"/>
        <v>7002.7099999999991</v>
      </c>
    </row>
    <row r="163" spans="1:18">
      <c r="A163" s="3" t="s">
        <v>208</v>
      </c>
      <c r="B163" s="4" t="s">
        <v>3</v>
      </c>
      <c r="C163" s="4" t="s">
        <v>40</v>
      </c>
      <c r="D163" s="4" t="s">
        <v>10</v>
      </c>
      <c r="E163" s="4" t="s">
        <v>32</v>
      </c>
      <c r="F163" s="4" t="s">
        <v>33</v>
      </c>
      <c r="G163" s="5">
        <v>45088</v>
      </c>
      <c r="H163" s="4">
        <v>376</v>
      </c>
      <c r="I163" s="4">
        <v>304.45</v>
      </c>
      <c r="J163" s="6">
        <v>206.83</v>
      </c>
      <c r="K163">
        <f t="shared" si="8"/>
        <v>78</v>
      </c>
      <c r="L163">
        <f t="shared" si="9"/>
        <v>67</v>
      </c>
      <c r="M163" t="str">
        <f>IF(B163="",$Z$18,B163)</f>
        <v>North</v>
      </c>
      <c r="N163" t="str">
        <f>IF(D163="",$Z$19,D163)</f>
        <v>Clothing</v>
      </c>
      <c r="O163">
        <f>IF(H163="",$Y$24,H163)</f>
        <v>376</v>
      </c>
      <c r="P163">
        <f>IF(I163="",$Z$24,I163)</f>
        <v>304.45</v>
      </c>
      <c r="Q163">
        <f t="shared" si="10"/>
        <v>114473.2</v>
      </c>
      <c r="R163">
        <f t="shared" si="11"/>
        <v>36705.119999999995</v>
      </c>
    </row>
    <row r="164" spans="1:18">
      <c r="A164" s="3" t="s">
        <v>209</v>
      </c>
      <c r="B164" s="4" t="s">
        <v>5</v>
      </c>
      <c r="C164" s="4" t="s">
        <v>65</v>
      </c>
      <c r="D164" s="4" t="s">
        <v>11</v>
      </c>
      <c r="E164" s="4" t="s">
        <v>32</v>
      </c>
      <c r="F164" s="4" t="s">
        <v>33</v>
      </c>
      <c r="G164" s="5">
        <v>45089</v>
      </c>
      <c r="H164" s="4">
        <v>88</v>
      </c>
      <c r="I164" s="4">
        <v>162.47</v>
      </c>
      <c r="J164" s="6">
        <v>359.76</v>
      </c>
      <c r="K164">
        <f t="shared" si="8"/>
        <v>106</v>
      </c>
      <c r="L164">
        <f t="shared" si="9"/>
        <v>70</v>
      </c>
      <c r="M164" t="str">
        <f>IF(B164="",$Z$18,B164)</f>
        <v>West</v>
      </c>
      <c r="N164" t="str">
        <f>IF(D164="",$Z$19,D164)</f>
        <v>Electronics</v>
      </c>
      <c r="O164">
        <f>IF(H164="",$Y$24,H164)</f>
        <v>88</v>
      </c>
      <c r="P164">
        <f>IF(I164="",$Z$24,I164)</f>
        <v>162.47</v>
      </c>
      <c r="Q164">
        <f t="shared" si="10"/>
        <v>14297.36</v>
      </c>
      <c r="R164">
        <f t="shared" si="11"/>
        <v>-17361.519999999997</v>
      </c>
    </row>
    <row r="165" spans="1:18">
      <c r="A165" s="3" t="s">
        <v>210</v>
      </c>
      <c r="B165" s="4" t="s">
        <v>5</v>
      </c>
      <c r="C165" s="4" t="s">
        <v>40</v>
      </c>
      <c r="D165" s="4" t="s">
        <v>9</v>
      </c>
      <c r="E165" s="4" t="s">
        <v>32</v>
      </c>
      <c r="F165" s="4" t="s">
        <v>36</v>
      </c>
      <c r="G165" s="5">
        <v>45090</v>
      </c>
      <c r="H165" s="4">
        <v>425</v>
      </c>
      <c r="I165" s="4">
        <v>433.89</v>
      </c>
      <c r="J165" s="6">
        <v>313.43</v>
      </c>
      <c r="K165">
        <f t="shared" si="8"/>
        <v>106</v>
      </c>
      <c r="L165">
        <f t="shared" si="9"/>
        <v>83</v>
      </c>
      <c r="M165" t="str">
        <f>IF(B165="",$Z$18,B165)</f>
        <v>West</v>
      </c>
      <c r="N165" t="str">
        <f>IF(D165="",$Z$19,D165)</f>
        <v>Beverages</v>
      </c>
      <c r="O165">
        <f>IF(H165="",$Y$24,H165)</f>
        <v>425</v>
      </c>
      <c r="P165">
        <f>IF(I165="",$Z$24,I165)</f>
        <v>433.89</v>
      </c>
      <c r="Q165">
        <f t="shared" si="10"/>
        <v>184403.25</v>
      </c>
      <c r="R165">
        <f t="shared" si="11"/>
        <v>51195.5</v>
      </c>
    </row>
    <row r="166" spans="1:18">
      <c r="A166" s="3" t="s">
        <v>211</v>
      </c>
      <c r="B166" s="4" t="s">
        <v>4</v>
      </c>
      <c r="C166" s="4" t="s">
        <v>65</v>
      </c>
      <c r="D166" s="4" t="s">
        <v>9</v>
      </c>
      <c r="E166" s="4" t="s">
        <v>38</v>
      </c>
      <c r="F166" s="4" t="s">
        <v>33</v>
      </c>
      <c r="G166" s="5">
        <v>45091</v>
      </c>
      <c r="H166" s="4">
        <v>444</v>
      </c>
      <c r="I166" s="4">
        <v>496.7</v>
      </c>
      <c r="J166" s="6">
        <v>92.68</v>
      </c>
      <c r="K166">
        <f t="shared" si="8"/>
        <v>75</v>
      </c>
      <c r="L166">
        <f t="shared" si="9"/>
        <v>83</v>
      </c>
      <c r="M166" t="str">
        <f>IF(B166="",$Z$18,B166)</f>
        <v>South</v>
      </c>
      <c r="N166" t="str">
        <f>IF(D166="",$Z$19,D166)</f>
        <v>Beverages</v>
      </c>
      <c r="O166">
        <f>IF(H166="",$Y$24,H166)</f>
        <v>444</v>
      </c>
      <c r="P166">
        <f>IF(I166="",$Z$24,I166)</f>
        <v>496.7</v>
      </c>
      <c r="Q166">
        <f t="shared" si="10"/>
        <v>220534.8</v>
      </c>
      <c r="R166">
        <f t="shared" si="11"/>
        <v>179384.87999999998</v>
      </c>
    </row>
    <row r="167" spans="1:18">
      <c r="A167" s="3" t="s">
        <v>212</v>
      </c>
      <c r="B167" s="4" t="s">
        <v>3</v>
      </c>
      <c r="C167" s="4" t="s">
        <v>35</v>
      </c>
      <c r="D167" s="4" t="s">
        <v>12</v>
      </c>
      <c r="E167" s="4" t="s">
        <v>32</v>
      </c>
      <c r="F167" s="4" t="s">
        <v>41</v>
      </c>
      <c r="G167" s="5">
        <v>45092</v>
      </c>
      <c r="H167" s="4">
        <v>468</v>
      </c>
      <c r="I167" s="4">
        <v>377.45</v>
      </c>
      <c r="J167" s="6">
        <v>390.44</v>
      </c>
      <c r="K167">
        <f t="shared" si="8"/>
        <v>78</v>
      </c>
      <c r="L167">
        <f t="shared" si="9"/>
        <v>61</v>
      </c>
      <c r="M167" t="str">
        <f>IF(B167="",$Z$18,B167)</f>
        <v>North</v>
      </c>
      <c r="N167" t="str">
        <f>IF(D167="",$Z$19,D167)</f>
        <v>Food</v>
      </c>
      <c r="O167">
        <f>IF(H167="",$Y$24,H167)</f>
        <v>468</v>
      </c>
      <c r="P167">
        <f>IF(I167="",$Z$24,I167)</f>
        <v>377.45</v>
      </c>
      <c r="Q167">
        <f t="shared" si="10"/>
        <v>176646.6</v>
      </c>
      <c r="R167">
        <f t="shared" si="11"/>
        <v>-6079.320000000007</v>
      </c>
    </row>
    <row r="168" spans="1:18">
      <c r="A168" s="3" t="s">
        <v>213</v>
      </c>
      <c r="B168" s="4" t="s">
        <v>5</v>
      </c>
      <c r="C168" s="4" t="s">
        <v>31</v>
      </c>
      <c r="D168" s="4" t="s">
        <v>13</v>
      </c>
      <c r="E168" s="4" t="s">
        <v>32</v>
      </c>
      <c r="F168" s="4" t="s">
        <v>41</v>
      </c>
      <c r="G168" s="5">
        <v>45093</v>
      </c>
      <c r="H168" s="4">
        <v>67</v>
      </c>
      <c r="I168" s="4">
        <v>49.79</v>
      </c>
      <c r="J168" s="6">
        <v>267.61</v>
      </c>
      <c r="K168">
        <f t="shared" si="8"/>
        <v>106</v>
      </c>
      <c r="L168">
        <f t="shared" si="9"/>
        <v>69</v>
      </c>
      <c r="M168" t="str">
        <f>IF(B168="",$Z$18,B168)</f>
        <v>West</v>
      </c>
      <c r="N168" t="str">
        <f>IF(D168="",$Z$19,D168)</f>
        <v>Furniture</v>
      </c>
      <c r="O168">
        <f>IF(H168="",$Y$24,H168)</f>
        <v>67</v>
      </c>
      <c r="P168">
        <f>IF(I168="",$Z$24,I168)</f>
        <v>49.79</v>
      </c>
      <c r="Q168">
        <f t="shared" si="10"/>
        <v>3335.93</v>
      </c>
      <c r="R168">
        <f t="shared" si="11"/>
        <v>-14593.940000000002</v>
      </c>
    </row>
    <row r="169" spans="1:18">
      <c r="A169" s="3" t="s">
        <v>214</v>
      </c>
      <c r="B169" s="4" t="s">
        <v>2</v>
      </c>
      <c r="C169" s="4" t="s">
        <v>65</v>
      </c>
      <c r="D169" s="4" t="s">
        <v>11</v>
      </c>
      <c r="E169" s="4" t="s">
        <v>38</v>
      </c>
      <c r="F169" s="4" t="s">
        <v>33</v>
      </c>
      <c r="G169" s="5">
        <v>45094</v>
      </c>
      <c r="H169" s="4">
        <v>480</v>
      </c>
      <c r="I169" s="4">
        <v>147.9</v>
      </c>
      <c r="J169" s="6">
        <v>6.15</v>
      </c>
      <c r="K169">
        <f t="shared" si="8"/>
        <v>91</v>
      </c>
      <c r="L169">
        <f t="shared" si="9"/>
        <v>70</v>
      </c>
      <c r="M169" t="str">
        <f>IF(B169="",$Z$18,B169)</f>
        <v>East</v>
      </c>
      <c r="N169" t="str">
        <f>IF(D169="",$Z$19,D169)</f>
        <v>Electronics</v>
      </c>
      <c r="O169">
        <f>IF(H169="",$Y$24,H169)</f>
        <v>480</v>
      </c>
      <c r="P169">
        <f>IF(I169="",$Z$24,I169)</f>
        <v>147.9</v>
      </c>
      <c r="Q169">
        <f t="shared" si="10"/>
        <v>70992</v>
      </c>
      <c r="R169">
        <f t="shared" si="11"/>
        <v>68040</v>
      </c>
    </row>
    <row r="170" spans="1:18">
      <c r="A170" s="3" t="s">
        <v>215</v>
      </c>
      <c r="B170" s="4" t="s">
        <v>2</v>
      </c>
      <c r="C170" s="4" t="s">
        <v>35</v>
      </c>
      <c r="D170" s="4" t="s">
        <v>13</v>
      </c>
      <c r="E170" s="4" t="s">
        <v>38</v>
      </c>
      <c r="F170" s="4" t="s">
        <v>41</v>
      </c>
      <c r="G170" s="5">
        <v>45095</v>
      </c>
      <c r="H170" s="4">
        <v>35</v>
      </c>
      <c r="I170" s="4">
        <v>59.01</v>
      </c>
      <c r="J170" s="6">
        <v>103.65</v>
      </c>
      <c r="K170">
        <f t="shared" si="8"/>
        <v>91</v>
      </c>
      <c r="L170">
        <f t="shared" si="9"/>
        <v>69</v>
      </c>
      <c r="M170" t="str">
        <f>IF(B170="",$Z$18,B170)</f>
        <v>East</v>
      </c>
      <c r="N170" t="str">
        <f>IF(D170="",$Z$19,D170)</f>
        <v>Furniture</v>
      </c>
      <c r="O170">
        <f>IF(H170="",$Y$24,H170)</f>
        <v>35</v>
      </c>
      <c r="P170">
        <f>IF(I170="",$Z$24,I170)</f>
        <v>59.01</v>
      </c>
      <c r="Q170">
        <f t="shared" si="10"/>
        <v>2065.35</v>
      </c>
      <c r="R170">
        <f t="shared" si="11"/>
        <v>-1562.4</v>
      </c>
    </row>
    <row r="171" spans="1:18">
      <c r="A171" s="3" t="s">
        <v>216</v>
      </c>
      <c r="B171" s="4" t="s">
        <v>4</v>
      </c>
      <c r="C171" s="4" t="s">
        <v>40</v>
      </c>
      <c r="D171" s="4" t="s">
        <v>11</v>
      </c>
      <c r="E171" s="4" t="s">
        <v>38</v>
      </c>
      <c r="F171" s="4" t="s">
        <v>33</v>
      </c>
      <c r="G171" s="5">
        <v>45096</v>
      </c>
      <c r="H171" s="4">
        <v>491</v>
      </c>
      <c r="I171" s="4">
        <v>327</v>
      </c>
      <c r="J171" s="6">
        <v>105.76</v>
      </c>
      <c r="K171">
        <f t="shared" si="8"/>
        <v>75</v>
      </c>
      <c r="L171">
        <f t="shared" si="9"/>
        <v>70</v>
      </c>
      <c r="M171" t="str">
        <f>IF(B171="",$Z$18,B171)</f>
        <v>South</v>
      </c>
      <c r="N171" t="str">
        <f>IF(D171="",$Z$19,D171)</f>
        <v>Electronics</v>
      </c>
      <c r="O171">
        <f>IF(H171="",$Y$24,H171)</f>
        <v>491</v>
      </c>
      <c r="P171">
        <f>IF(I171="",$Z$24,I171)</f>
        <v>327</v>
      </c>
      <c r="Q171">
        <f t="shared" si="10"/>
        <v>160557</v>
      </c>
      <c r="R171">
        <f t="shared" si="11"/>
        <v>108628.84</v>
      </c>
    </row>
    <row r="172" spans="1:18">
      <c r="A172" s="3" t="s">
        <v>217</v>
      </c>
      <c r="B172" s="4" t="s">
        <v>5</v>
      </c>
      <c r="C172" s="4" t="s">
        <v>40</v>
      </c>
      <c r="D172" s="4" t="s">
        <v>12</v>
      </c>
      <c r="E172" s="4" t="s">
        <v>38</v>
      </c>
      <c r="F172" s="4" t="s">
        <v>36</v>
      </c>
      <c r="G172" s="5">
        <v>45097</v>
      </c>
      <c r="H172" s="4">
        <v>439</v>
      </c>
      <c r="I172" s="4">
        <v>383.77</v>
      </c>
      <c r="J172" s="6">
        <v>29.56</v>
      </c>
      <c r="K172">
        <f t="shared" si="8"/>
        <v>106</v>
      </c>
      <c r="L172">
        <f t="shared" si="9"/>
        <v>61</v>
      </c>
      <c r="M172" t="str">
        <f>IF(B172="",$Z$18,B172)</f>
        <v>West</v>
      </c>
      <c r="N172" t="str">
        <f>IF(D172="",$Z$19,D172)</f>
        <v>Food</v>
      </c>
      <c r="O172">
        <f>IF(H172="",$Y$24,H172)</f>
        <v>439</v>
      </c>
      <c r="P172">
        <f>IF(I172="",$Z$24,I172)</f>
        <v>383.77</v>
      </c>
      <c r="Q172">
        <f t="shared" si="10"/>
        <v>168475.03</v>
      </c>
      <c r="R172">
        <f t="shared" si="11"/>
        <v>155498.19</v>
      </c>
    </row>
    <row r="173" spans="1:18">
      <c r="A173" s="3" t="s">
        <v>218</v>
      </c>
      <c r="B173" s="4" t="s">
        <v>3</v>
      </c>
      <c r="C173" s="4" t="s">
        <v>35</v>
      </c>
      <c r="D173" s="4" t="s">
        <v>12</v>
      </c>
      <c r="E173" s="4" t="s">
        <v>32</v>
      </c>
      <c r="F173" s="4" t="s">
        <v>36</v>
      </c>
      <c r="G173" s="5">
        <v>45098</v>
      </c>
      <c r="H173" s="4">
        <v>235</v>
      </c>
      <c r="I173" s="4">
        <v>463.21</v>
      </c>
      <c r="J173" s="6">
        <v>384.01</v>
      </c>
      <c r="K173">
        <f t="shared" si="8"/>
        <v>78</v>
      </c>
      <c r="L173">
        <f t="shared" si="9"/>
        <v>61</v>
      </c>
      <c r="M173" t="str">
        <f>IF(B173="",$Z$18,B173)</f>
        <v>North</v>
      </c>
      <c r="N173" t="str">
        <f>IF(D173="",$Z$19,D173)</f>
        <v>Food</v>
      </c>
      <c r="O173">
        <f>IF(H173="",$Y$24,H173)</f>
        <v>235</v>
      </c>
      <c r="P173">
        <f>IF(I173="",$Z$24,I173)</f>
        <v>463.21</v>
      </c>
      <c r="Q173">
        <f t="shared" si="10"/>
        <v>108854.34999999999</v>
      </c>
      <c r="R173">
        <f t="shared" si="11"/>
        <v>18612</v>
      </c>
    </row>
    <row r="174" spans="1:18">
      <c r="A174" s="3" t="s">
        <v>219</v>
      </c>
      <c r="B174" s="4" t="s">
        <v>2</v>
      </c>
      <c r="C174" s="4" t="s">
        <v>40</v>
      </c>
      <c r="D174" s="4" t="s">
        <v>9</v>
      </c>
      <c r="E174" s="4" t="s">
        <v>32</v>
      </c>
      <c r="F174" s="4" t="s">
        <v>41</v>
      </c>
      <c r="G174" s="5">
        <v>45099</v>
      </c>
      <c r="H174" s="4">
        <v>294</v>
      </c>
      <c r="I174" s="4">
        <v>221.9</v>
      </c>
      <c r="J174" s="6">
        <v>192.35</v>
      </c>
      <c r="K174">
        <f t="shared" si="8"/>
        <v>91</v>
      </c>
      <c r="L174">
        <f t="shared" si="9"/>
        <v>83</v>
      </c>
      <c r="M174" t="str">
        <f>IF(B174="",$Z$18,B174)</f>
        <v>East</v>
      </c>
      <c r="N174" t="str">
        <f>IF(D174="",$Z$19,D174)</f>
        <v>Beverages</v>
      </c>
      <c r="O174">
        <f>IF(H174="",$Y$24,H174)</f>
        <v>294</v>
      </c>
      <c r="P174">
        <f>IF(I174="",$Z$24,I174)</f>
        <v>221.9</v>
      </c>
      <c r="Q174">
        <f t="shared" si="10"/>
        <v>65238.6</v>
      </c>
      <c r="R174">
        <f t="shared" si="11"/>
        <v>8687.6999999999971</v>
      </c>
    </row>
    <row r="175" spans="1:18">
      <c r="A175" s="3" t="s">
        <v>220</v>
      </c>
      <c r="B175" s="4" t="s">
        <v>5</v>
      </c>
      <c r="C175" s="4" t="s">
        <v>35</v>
      </c>
      <c r="D175" s="4" t="s">
        <v>13</v>
      </c>
      <c r="E175" s="4" t="s">
        <v>32</v>
      </c>
      <c r="F175" s="4" t="s">
        <v>33</v>
      </c>
      <c r="G175" s="5">
        <v>45100</v>
      </c>
      <c r="H175" s="4">
        <v>13</v>
      </c>
      <c r="I175" s="4">
        <v>451.18</v>
      </c>
      <c r="J175" s="6">
        <v>358.53</v>
      </c>
      <c r="K175">
        <f t="shared" si="8"/>
        <v>106</v>
      </c>
      <c r="L175">
        <f t="shared" si="9"/>
        <v>69</v>
      </c>
      <c r="M175" t="str">
        <f>IF(B175="",$Z$18,B175)</f>
        <v>West</v>
      </c>
      <c r="N175" t="str">
        <f>IF(D175="",$Z$19,D175)</f>
        <v>Furniture</v>
      </c>
      <c r="O175">
        <f>IF(H175="",$Y$24,H175)</f>
        <v>13</v>
      </c>
      <c r="P175">
        <f>IF(I175="",$Z$24,I175)</f>
        <v>451.18</v>
      </c>
      <c r="Q175">
        <f t="shared" si="10"/>
        <v>5865.34</v>
      </c>
      <c r="R175">
        <f t="shared" si="11"/>
        <v>1204.4500000000007</v>
      </c>
    </row>
    <row r="176" spans="1:18">
      <c r="A176" s="3" t="s">
        <v>221</v>
      </c>
      <c r="B176" s="4" t="s">
        <v>5</v>
      </c>
      <c r="C176" s="4" t="s">
        <v>65</v>
      </c>
      <c r="D176" s="4" t="s">
        <v>9</v>
      </c>
      <c r="E176" s="4" t="s">
        <v>32</v>
      </c>
      <c r="F176" s="4" t="s">
        <v>33</v>
      </c>
      <c r="G176" s="5">
        <v>45101</v>
      </c>
      <c r="H176" s="4">
        <v>474</v>
      </c>
      <c r="I176" s="4">
        <v>439.56</v>
      </c>
      <c r="J176" s="6">
        <v>130.24</v>
      </c>
      <c r="K176">
        <f t="shared" si="8"/>
        <v>106</v>
      </c>
      <c r="L176">
        <f t="shared" si="9"/>
        <v>83</v>
      </c>
      <c r="M176" t="str">
        <f>IF(B176="",$Z$18,B176)</f>
        <v>West</v>
      </c>
      <c r="N176" t="str">
        <f>IF(D176="",$Z$19,D176)</f>
        <v>Beverages</v>
      </c>
      <c r="O176">
        <f>IF(H176="",$Y$24,H176)</f>
        <v>474</v>
      </c>
      <c r="P176">
        <f>IF(I176="",$Z$24,I176)</f>
        <v>439.56</v>
      </c>
      <c r="Q176">
        <f t="shared" si="10"/>
        <v>208351.44</v>
      </c>
      <c r="R176">
        <f t="shared" si="11"/>
        <v>146617.68</v>
      </c>
    </row>
    <row r="177" spans="1:18">
      <c r="A177" s="3" t="s">
        <v>222</v>
      </c>
      <c r="B177" s="4" t="s">
        <v>4</v>
      </c>
      <c r="C177" s="4" t="s">
        <v>65</v>
      </c>
      <c r="D177" s="4" t="s">
        <v>13</v>
      </c>
      <c r="E177" s="4" t="s">
        <v>38</v>
      </c>
      <c r="F177" s="4" t="s">
        <v>41</v>
      </c>
      <c r="G177" s="5">
        <v>45102</v>
      </c>
      <c r="H177" s="4">
        <v>108</v>
      </c>
      <c r="I177" s="4">
        <v>162.01</v>
      </c>
      <c r="J177" s="6">
        <v>51.84</v>
      </c>
      <c r="K177">
        <f t="shared" si="8"/>
        <v>75</v>
      </c>
      <c r="L177">
        <f t="shared" si="9"/>
        <v>69</v>
      </c>
      <c r="M177" t="str">
        <f>IF(B177="",$Z$18,B177)</f>
        <v>South</v>
      </c>
      <c r="N177" t="str">
        <f>IF(D177="",$Z$19,D177)</f>
        <v>Furniture</v>
      </c>
      <c r="O177">
        <f>IF(H177="",$Y$24,H177)</f>
        <v>108</v>
      </c>
      <c r="P177">
        <f>IF(I177="",$Z$24,I177)</f>
        <v>162.01</v>
      </c>
      <c r="Q177">
        <f t="shared" si="10"/>
        <v>17497.079999999998</v>
      </c>
      <c r="R177">
        <f t="shared" si="11"/>
        <v>11898.359999999997</v>
      </c>
    </row>
    <row r="178" spans="1:18">
      <c r="A178" s="3" t="s">
        <v>223</v>
      </c>
      <c r="B178" s="4" t="s">
        <v>2</v>
      </c>
      <c r="C178" s="4" t="s">
        <v>35</v>
      </c>
      <c r="D178" s="4" t="s">
        <v>9</v>
      </c>
      <c r="E178" s="4" t="s">
        <v>32</v>
      </c>
      <c r="F178" s="4" t="s">
        <v>36</v>
      </c>
      <c r="G178" s="5">
        <v>45103</v>
      </c>
      <c r="H178" s="4">
        <v>406</v>
      </c>
      <c r="I178" s="4">
        <v>435.11</v>
      </c>
      <c r="J178" s="6">
        <v>190.79</v>
      </c>
      <c r="K178">
        <f t="shared" si="8"/>
        <v>91</v>
      </c>
      <c r="L178">
        <f t="shared" si="9"/>
        <v>83</v>
      </c>
      <c r="M178" t="str">
        <f>IF(B178="",$Z$18,B178)</f>
        <v>East</v>
      </c>
      <c r="N178" t="str">
        <f>IF(D178="",$Z$19,D178)</f>
        <v>Beverages</v>
      </c>
      <c r="O178">
        <f>IF(H178="",$Y$24,H178)</f>
        <v>406</v>
      </c>
      <c r="P178">
        <f>IF(I178="",$Z$24,I178)</f>
        <v>435.11</v>
      </c>
      <c r="Q178">
        <f t="shared" si="10"/>
        <v>176654.66</v>
      </c>
      <c r="R178">
        <f t="shared" si="11"/>
        <v>99193.920000000013</v>
      </c>
    </row>
    <row r="179" spans="1:18">
      <c r="A179" s="3" t="s">
        <v>224</v>
      </c>
      <c r="B179" s="4" t="s">
        <v>2</v>
      </c>
      <c r="C179" s="4" t="s">
        <v>65</v>
      </c>
      <c r="D179" s="4" t="s">
        <v>10</v>
      </c>
      <c r="E179" s="4" t="s">
        <v>32</v>
      </c>
      <c r="F179" s="4" t="s">
        <v>41</v>
      </c>
      <c r="G179" s="5">
        <v>45104</v>
      </c>
      <c r="H179" s="4">
        <v>498</v>
      </c>
      <c r="I179" s="4">
        <v>190.96</v>
      </c>
      <c r="J179" s="6">
        <v>47.35</v>
      </c>
      <c r="K179">
        <f t="shared" si="8"/>
        <v>91</v>
      </c>
      <c r="L179">
        <f t="shared" si="9"/>
        <v>67</v>
      </c>
      <c r="M179" t="str">
        <f>IF(B179="",$Z$18,B179)</f>
        <v>East</v>
      </c>
      <c r="N179" t="str">
        <f>IF(D179="",$Z$19,D179)</f>
        <v>Clothing</v>
      </c>
      <c r="O179">
        <f>IF(H179="",$Y$24,H179)</f>
        <v>498</v>
      </c>
      <c r="P179">
        <f>IF(I179="",$Z$24,I179)</f>
        <v>190.96</v>
      </c>
      <c r="Q179">
        <f t="shared" si="10"/>
        <v>95098.08</v>
      </c>
      <c r="R179">
        <f t="shared" si="11"/>
        <v>71517.78</v>
      </c>
    </row>
    <row r="180" spans="1:18">
      <c r="A180" s="3" t="s">
        <v>225</v>
      </c>
      <c r="B180" s="4" t="s">
        <v>3</v>
      </c>
      <c r="C180" s="4" t="s">
        <v>65</v>
      </c>
      <c r="D180" s="4" t="s">
        <v>10</v>
      </c>
      <c r="E180" s="4" t="s">
        <v>38</v>
      </c>
      <c r="F180" s="4" t="s">
        <v>36</v>
      </c>
      <c r="G180" s="5">
        <v>45105</v>
      </c>
      <c r="H180" s="4">
        <v>48</v>
      </c>
      <c r="I180" s="4">
        <v>151.94999999999999</v>
      </c>
      <c r="J180" s="6">
        <v>195.43</v>
      </c>
      <c r="K180">
        <f t="shared" si="8"/>
        <v>78</v>
      </c>
      <c r="L180">
        <f t="shared" si="9"/>
        <v>67</v>
      </c>
      <c r="M180" t="str">
        <f>IF(B180="",$Z$18,B180)</f>
        <v>North</v>
      </c>
      <c r="N180" t="str">
        <f>IF(D180="",$Z$19,D180)</f>
        <v>Clothing</v>
      </c>
      <c r="O180">
        <f>IF(H180="",$Y$24,H180)</f>
        <v>48</v>
      </c>
      <c r="P180">
        <f>IF(I180="",$Z$24,I180)</f>
        <v>151.94999999999999</v>
      </c>
      <c r="Q180">
        <f t="shared" si="10"/>
        <v>7293.5999999999995</v>
      </c>
      <c r="R180">
        <f t="shared" si="11"/>
        <v>-2087.04</v>
      </c>
    </row>
    <row r="181" spans="1:18">
      <c r="A181" s="3" t="s">
        <v>226</v>
      </c>
      <c r="B181" s="4" t="s">
        <v>2</v>
      </c>
      <c r="C181" s="4" t="s">
        <v>65</v>
      </c>
      <c r="D181" s="4" t="s">
        <v>10</v>
      </c>
      <c r="E181" s="4" t="s">
        <v>32</v>
      </c>
      <c r="F181" s="4" t="s">
        <v>33</v>
      </c>
      <c r="G181" s="5">
        <v>45106</v>
      </c>
      <c r="H181" s="4">
        <v>280</v>
      </c>
      <c r="I181" s="4">
        <v>326.29000000000002</v>
      </c>
      <c r="J181" s="6">
        <v>368.28</v>
      </c>
      <c r="K181">
        <f t="shared" si="8"/>
        <v>91</v>
      </c>
      <c r="L181">
        <f t="shared" si="9"/>
        <v>67</v>
      </c>
      <c r="M181" t="str">
        <f>IF(B181="",$Z$18,B181)</f>
        <v>East</v>
      </c>
      <c r="N181" t="str">
        <f>IF(D181="",$Z$19,D181)</f>
        <v>Clothing</v>
      </c>
      <c r="O181">
        <f>IF(H181="",$Y$24,H181)</f>
        <v>280</v>
      </c>
      <c r="P181">
        <f>IF(I181="",$Z$24,I181)</f>
        <v>326.29000000000002</v>
      </c>
      <c r="Q181">
        <f t="shared" si="10"/>
        <v>91361.200000000012</v>
      </c>
      <c r="R181">
        <f t="shared" si="11"/>
        <v>-11757.199999999983</v>
      </c>
    </row>
    <row r="182" spans="1:18">
      <c r="A182" s="3" t="s">
        <v>227</v>
      </c>
      <c r="B182" s="4" t="s">
        <v>3</v>
      </c>
      <c r="C182" s="4" t="s">
        <v>46</v>
      </c>
      <c r="D182" s="4" t="s">
        <v>10</v>
      </c>
      <c r="E182" s="4" t="s">
        <v>32</v>
      </c>
      <c r="F182" s="4" t="s">
        <v>36</v>
      </c>
      <c r="G182" s="5">
        <v>45107</v>
      </c>
      <c r="H182" s="4">
        <v>384</v>
      </c>
      <c r="I182" s="4">
        <v>167.55</v>
      </c>
      <c r="J182" s="6">
        <v>209.27</v>
      </c>
      <c r="K182">
        <f t="shared" si="8"/>
        <v>78</v>
      </c>
      <c r="L182">
        <f t="shared" si="9"/>
        <v>67</v>
      </c>
      <c r="M182" t="str">
        <f>IF(B182="",$Z$18,B182)</f>
        <v>North</v>
      </c>
      <c r="N182" t="str">
        <f>IF(D182="",$Z$19,D182)</f>
        <v>Clothing</v>
      </c>
      <c r="O182">
        <f>IF(H182="",$Y$24,H182)</f>
        <v>384</v>
      </c>
      <c r="P182">
        <f>IF(I182="",$Z$24,I182)</f>
        <v>167.55</v>
      </c>
      <c r="Q182">
        <f t="shared" si="10"/>
        <v>64339.200000000004</v>
      </c>
      <c r="R182">
        <f t="shared" si="11"/>
        <v>-16020.480000000003</v>
      </c>
    </row>
    <row r="183" spans="1:18">
      <c r="A183" s="3" t="s">
        <v>228</v>
      </c>
      <c r="B183" s="4" t="s">
        <v>2</v>
      </c>
      <c r="C183" s="4" t="s">
        <v>31</v>
      </c>
      <c r="D183" s="4" t="s">
        <v>11</v>
      </c>
      <c r="E183" s="4" t="s">
        <v>32</v>
      </c>
      <c r="F183" s="4" t="s">
        <v>41</v>
      </c>
      <c r="G183" s="5">
        <v>45108</v>
      </c>
      <c r="H183" s="4">
        <v>294</v>
      </c>
      <c r="I183" s="4">
        <v>316.95</v>
      </c>
      <c r="J183" s="6">
        <v>247.37</v>
      </c>
      <c r="K183">
        <f t="shared" si="8"/>
        <v>91</v>
      </c>
      <c r="L183">
        <f t="shared" si="9"/>
        <v>70</v>
      </c>
      <c r="M183" t="str">
        <f>IF(B183="",$Z$18,B183)</f>
        <v>East</v>
      </c>
      <c r="N183" t="str">
        <f>IF(D183="",$Z$19,D183)</f>
        <v>Electronics</v>
      </c>
      <c r="O183">
        <f>IF(H183="",$Y$24,H183)</f>
        <v>294</v>
      </c>
      <c r="P183">
        <f>IF(I183="",$Z$24,I183)</f>
        <v>316.95</v>
      </c>
      <c r="Q183">
        <f t="shared" si="10"/>
        <v>93183.3</v>
      </c>
      <c r="R183">
        <f t="shared" si="11"/>
        <v>20456.520000000004</v>
      </c>
    </row>
    <row r="184" spans="1:18">
      <c r="A184" s="3" t="s">
        <v>229</v>
      </c>
      <c r="B184" s="4" t="s">
        <v>4</v>
      </c>
      <c r="C184" s="4" t="s">
        <v>40</v>
      </c>
      <c r="D184" s="4" t="s">
        <v>10</v>
      </c>
      <c r="E184" s="4" t="s">
        <v>32</v>
      </c>
      <c r="F184" s="4" t="s">
        <v>33</v>
      </c>
      <c r="G184" s="5">
        <v>45109</v>
      </c>
      <c r="H184" s="4">
        <v>166</v>
      </c>
      <c r="I184" s="4">
        <v>306.87</v>
      </c>
      <c r="J184" s="6">
        <v>64.34</v>
      </c>
      <c r="K184">
        <f t="shared" si="8"/>
        <v>75</v>
      </c>
      <c r="L184">
        <f t="shared" si="9"/>
        <v>67</v>
      </c>
      <c r="M184" t="str">
        <f>IF(B184="",$Z$18,B184)</f>
        <v>South</v>
      </c>
      <c r="N184" t="str">
        <f>IF(D184="",$Z$19,D184)</f>
        <v>Clothing</v>
      </c>
      <c r="O184">
        <f>IF(H184="",$Y$24,H184)</f>
        <v>166</v>
      </c>
      <c r="P184">
        <f>IF(I184="",$Z$24,I184)</f>
        <v>306.87</v>
      </c>
      <c r="Q184">
        <f t="shared" si="10"/>
        <v>50940.42</v>
      </c>
      <c r="R184">
        <f t="shared" si="11"/>
        <v>40259.979999999996</v>
      </c>
    </row>
    <row r="185" spans="1:18">
      <c r="A185" s="3" t="s">
        <v>230</v>
      </c>
      <c r="B185" s="4" t="s">
        <v>2</v>
      </c>
      <c r="C185" s="4" t="s">
        <v>46</v>
      </c>
      <c r="D185" s="4" t="s">
        <v>12</v>
      </c>
      <c r="E185" s="4" t="s">
        <v>32</v>
      </c>
      <c r="F185" s="4" t="s">
        <v>41</v>
      </c>
      <c r="G185" s="5">
        <v>45110</v>
      </c>
      <c r="H185" s="4">
        <v>84</v>
      </c>
      <c r="I185" s="4">
        <v>283.89999999999998</v>
      </c>
      <c r="J185" s="6">
        <v>19.41</v>
      </c>
      <c r="K185">
        <f t="shared" si="8"/>
        <v>91</v>
      </c>
      <c r="L185">
        <f t="shared" si="9"/>
        <v>61</v>
      </c>
      <c r="M185" t="str">
        <f>IF(B185="",$Z$18,B185)</f>
        <v>East</v>
      </c>
      <c r="N185" t="str">
        <f>IF(D185="",$Z$19,D185)</f>
        <v>Food</v>
      </c>
      <c r="O185">
        <f>IF(H185="",$Y$24,H185)</f>
        <v>84</v>
      </c>
      <c r="P185">
        <f>IF(I185="",$Z$24,I185)</f>
        <v>283.89999999999998</v>
      </c>
      <c r="Q185">
        <f t="shared" si="10"/>
        <v>23847.599999999999</v>
      </c>
      <c r="R185">
        <f t="shared" si="11"/>
        <v>22217.16</v>
      </c>
    </row>
    <row r="186" spans="1:18">
      <c r="A186" s="3" t="s">
        <v>231</v>
      </c>
      <c r="B186" s="4" t="s">
        <v>3</v>
      </c>
      <c r="C186" s="4" t="s">
        <v>65</v>
      </c>
      <c r="D186" s="4" t="s">
        <v>12</v>
      </c>
      <c r="E186" s="4" t="s">
        <v>32</v>
      </c>
      <c r="F186" s="4" t="s">
        <v>41</v>
      </c>
      <c r="G186" s="5">
        <v>45111</v>
      </c>
      <c r="H186" s="4">
        <v>381</v>
      </c>
      <c r="I186" s="4">
        <v>193.31</v>
      </c>
      <c r="J186" s="6">
        <v>46.1</v>
      </c>
      <c r="K186">
        <f t="shared" si="8"/>
        <v>78</v>
      </c>
      <c r="L186">
        <f t="shared" si="9"/>
        <v>61</v>
      </c>
      <c r="M186" t="str">
        <f>IF(B186="",$Z$18,B186)</f>
        <v>North</v>
      </c>
      <c r="N186" t="str">
        <f>IF(D186="",$Z$19,D186)</f>
        <v>Food</v>
      </c>
      <c r="O186">
        <f>IF(H186="",$Y$24,H186)</f>
        <v>381</v>
      </c>
      <c r="P186">
        <f>IF(I186="",$Z$24,I186)</f>
        <v>193.31</v>
      </c>
      <c r="Q186">
        <f t="shared" si="10"/>
        <v>73651.11</v>
      </c>
      <c r="R186">
        <f t="shared" si="11"/>
        <v>56087.009999999995</v>
      </c>
    </row>
    <row r="187" spans="1:18">
      <c r="A187" s="3" t="s">
        <v>232</v>
      </c>
      <c r="B187" s="4" t="s">
        <v>3</v>
      </c>
      <c r="C187" s="4" t="s">
        <v>35</v>
      </c>
      <c r="D187" s="4" t="s">
        <v>11</v>
      </c>
      <c r="E187" s="4" t="s">
        <v>38</v>
      </c>
      <c r="F187" s="4" t="s">
        <v>36</v>
      </c>
      <c r="G187" s="5">
        <v>45112</v>
      </c>
      <c r="H187" s="4">
        <v>297</v>
      </c>
      <c r="I187" s="4">
        <v>276.51</v>
      </c>
      <c r="J187" s="6">
        <v>240.22</v>
      </c>
      <c r="K187">
        <f t="shared" si="8"/>
        <v>78</v>
      </c>
      <c r="L187">
        <f t="shared" si="9"/>
        <v>70</v>
      </c>
      <c r="M187" t="str">
        <f>IF(B187="",$Z$18,B187)</f>
        <v>North</v>
      </c>
      <c r="N187" t="str">
        <f>IF(D187="",$Z$19,D187)</f>
        <v>Electronics</v>
      </c>
      <c r="O187">
        <f>IF(H187="",$Y$24,H187)</f>
        <v>297</v>
      </c>
      <c r="P187">
        <f>IF(I187="",$Z$24,I187)</f>
        <v>276.51</v>
      </c>
      <c r="Q187">
        <f t="shared" si="10"/>
        <v>82123.47</v>
      </c>
      <c r="R187">
        <f t="shared" si="11"/>
        <v>10778.130000000005</v>
      </c>
    </row>
    <row r="188" spans="1:18">
      <c r="A188" s="3" t="s">
        <v>233</v>
      </c>
      <c r="B188" s="4" t="s">
        <v>4</v>
      </c>
      <c r="C188" s="4" t="s">
        <v>65</v>
      </c>
      <c r="D188" s="4" t="s">
        <v>10</v>
      </c>
      <c r="E188" s="4" t="s">
        <v>38</v>
      </c>
      <c r="F188" s="4" t="s">
        <v>41</v>
      </c>
      <c r="G188" s="5">
        <v>45113</v>
      </c>
      <c r="H188" s="4">
        <v>139</v>
      </c>
      <c r="I188" s="4">
        <v>300.26</v>
      </c>
      <c r="J188" s="6">
        <v>39.81</v>
      </c>
      <c r="K188">
        <f t="shared" si="8"/>
        <v>75</v>
      </c>
      <c r="L188">
        <f t="shared" si="9"/>
        <v>67</v>
      </c>
      <c r="M188" t="str">
        <f>IF(B188="",$Z$18,B188)</f>
        <v>South</v>
      </c>
      <c r="N188" t="str">
        <f>IF(D188="",$Z$19,D188)</f>
        <v>Clothing</v>
      </c>
      <c r="O188">
        <f>IF(H188="",$Y$24,H188)</f>
        <v>139</v>
      </c>
      <c r="P188">
        <f>IF(I188="",$Z$24,I188)</f>
        <v>300.26</v>
      </c>
      <c r="Q188">
        <f t="shared" si="10"/>
        <v>41736.14</v>
      </c>
      <c r="R188">
        <f t="shared" si="11"/>
        <v>36202.550000000003</v>
      </c>
    </row>
    <row r="189" spans="1:18">
      <c r="A189" s="3" t="s">
        <v>234</v>
      </c>
      <c r="B189" s="4" t="s">
        <v>2</v>
      </c>
      <c r="C189" s="4" t="s">
        <v>31</v>
      </c>
      <c r="D189" s="4" t="s">
        <v>10</v>
      </c>
      <c r="E189" s="4" t="s">
        <v>32</v>
      </c>
      <c r="F189" s="4" t="s">
        <v>36</v>
      </c>
      <c r="G189" s="5">
        <v>45114</v>
      </c>
      <c r="H189" s="4">
        <v>184</v>
      </c>
      <c r="I189" s="4">
        <v>275.12</v>
      </c>
      <c r="J189" s="6">
        <v>151.65</v>
      </c>
      <c r="K189">
        <f t="shared" si="8"/>
        <v>91</v>
      </c>
      <c r="L189">
        <f t="shared" si="9"/>
        <v>67</v>
      </c>
      <c r="M189" t="str">
        <f>IF(B189="",$Z$18,B189)</f>
        <v>East</v>
      </c>
      <c r="N189" t="str">
        <f>IF(D189="",$Z$19,D189)</f>
        <v>Clothing</v>
      </c>
      <c r="O189">
        <f>IF(H189="",$Y$24,H189)</f>
        <v>184</v>
      </c>
      <c r="P189">
        <f>IF(I189="",$Z$24,I189)</f>
        <v>275.12</v>
      </c>
      <c r="Q189">
        <f t="shared" si="10"/>
        <v>50622.080000000002</v>
      </c>
      <c r="R189">
        <f t="shared" si="11"/>
        <v>22718.48</v>
      </c>
    </row>
    <row r="190" spans="1:18">
      <c r="A190" s="3" t="s">
        <v>235</v>
      </c>
      <c r="B190" s="4" t="s">
        <v>2</v>
      </c>
      <c r="C190" s="4" t="s">
        <v>65</v>
      </c>
      <c r="D190" s="4" t="s">
        <v>10</v>
      </c>
      <c r="E190" s="4" t="s">
        <v>32</v>
      </c>
      <c r="F190" s="4" t="s">
        <v>33</v>
      </c>
      <c r="G190" s="5">
        <v>45115</v>
      </c>
      <c r="H190" s="4">
        <v>471</v>
      </c>
      <c r="I190" s="4">
        <v>224.99</v>
      </c>
      <c r="J190" s="6">
        <v>220.94</v>
      </c>
      <c r="K190">
        <f t="shared" si="8"/>
        <v>91</v>
      </c>
      <c r="L190">
        <f t="shared" si="9"/>
        <v>67</v>
      </c>
      <c r="M190" t="str">
        <f>IF(B190="",$Z$18,B190)</f>
        <v>East</v>
      </c>
      <c r="N190" t="str">
        <f>IF(D190="",$Z$19,D190)</f>
        <v>Clothing</v>
      </c>
      <c r="O190">
        <f>IF(H190="",$Y$24,H190)</f>
        <v>471</v>
      </c>
      <c r="P190">
        <f>IF(I190="",$Z$24,I190)</f>
        <v>224.99</v>
      </c>
      <c r="Q190">
        <f t="shared" si="10"/>
        <v>105970.29000000001</v>
      </c>
      <c r="R190">
        <f t="shared" si="11"/>
        <v>1907.5500000000029</v>
      </c>
    </row>
    <row r="191" spans="1:18">
      <c r="A191" s="3" t="s">
        <v>236</v>
      </c>
      <c r="B191" s="4" t="s">
        <v>4</v>
      </c>
      <c r="C191" s="4" t="s">
        <v>35</v>
      </c>
      <c r="D191" s="4" t="s">
        <v>9</v>
      </c>
      <c r="E191" s="4" t="s">
        <v>38</v>
      </c>
      <c r="F191" s="4" t="s">
        <v>36</v>
      </c>
      <c r="G191" s="5">
        <v>45116</v>
      </c>
      <c r="H191" s="4">
        <v>93</v>
      </c>
      <c r="I191" s="4">
        <v>12.26</v>
      </c>
      <c r="J191" s="6">
        <v>156.68</v>
      </c>
      <c r="K191">
        <f t="shared" si="8"/>
        <v>75</v>
      </c>
      <c r="L191">
        <f t="shared" si="9"/>
        <v>83</v>
      </c>
      <c r="M191" t="str">
        <f>IF(B191="",$Z$18,B191)</f>
        <v>South</v>
      </c>
      <c r="N191" t="str">
        <f>IF(D191="",$Z$19,D191)</f>
        <v>Beverages</v>
      </c>
      <c r="O191">
        <f>IF(H191="",$Y$24,H191)</f>
        <v>93</v>
      </c>
      <c r="P191">
        <f>IF(I191="",$Z$24,I191)</f>
        <v>12.26</v>
      </c>
      <c r="Q191">
        <f t="shared" si="10"/>
        <v>1140.18</v>
      </c>
      <c r="R191">
        <f t="shared" si="11"/>
        <v>-13431.06</v>
      </c>
    </row>
    <row r="192" spans="1:18">
      <c r="A192" s="3" t="s">
        <v>237</v>
      </c>
      <c r="B192" s="4" t="s">
        <v>2</v>
      </c>
      <c r="C192" s="4" t="s">
        <v>31</v>
      </c>
      <c r="D192" s="4" t="s">
        <v>13</v>
      </c>
      <c r="E192" s="4" t="s">
        <v>32</v>
      </c>
      <c r="F192" s="4" t="s">
        <v>33</v>
      </c>
      <c r="G192" s="5">
        <v>45117</v>
      </c>
      <c r="H192" s="4">
        <v>31</v>
      </c>
      <c r="I192" s="4">
        <v>295.60000000000002</v>
      </c>
      <c r="J192" s="6">
        <v>67.150000000000006</v>
      </c>
      <c r="K192">
        <f t="shared" si="8"/>
        <v>91</v>
      </c>
      <c r="L192">
        <f t="shared" si="9"/>
        <v>69</v>
      </c>
      <c r="M192" t="str">
        <f>IF(B192="",$Z$18,B192)</f>
        <v>East</v>
      </c>
      <c r="N192" t="str">
        <f>IF(D192="",$Z$19,D192)</f>
        <v>Furniture</v>
      </c>
      <c r="O192">
        <f>IF(H192="",$Y$24,H192)</f>
        <v>31</v>
      </c>
      <c r="P192">
        <f>IF(I192="",$Z$24,I192)</f>
        <v>295.60000000000002</v>
      </c>
      <c r="Q192">
        <f t="shared" si="10"/>
        <v>9163.6</v>
      </c>
      <c r="R192">
        <f t="shared" si="11"/>
        <v>7081.9500000000007</v>
      </c>
    </row>
    <row r="193" spans="1:18">
      <c r="A193" s="3" t="s">
        <v>238</v>
      </c>
      <c r="B193" s="4" t="s">
        <v>2</v>
      </c>
      <c r="C193" s="4" t="s">
        <v>65</v>
      </c>
      <c r="D193" s="4" t="s">
        <v>9</v>
      </c>
      <c r="E193" s="4" t="s">
        <v>32</v>
      </c>
      <c r="F193" s="4" t="s">
        <v>36</v>
      </c>
      <c r="G193" s="5">
        <v>45118</v>
      </c>
      <c r="H193" s="4">
        <v>468</v>
      </c>
      <c r="I193" s="4">
        <v>88.38</v>
      </c>
      <c r="J193" s="6">
        <v>110.97</v>
      </c>
      <c r="K193">
        <f t="shared" si="8"/>
        <v>91</v>
      </c>
      <c r="L193">
        <f t="shared" si="9"/>
        <v>83</v>
      </c>
      <c r="M193" t="str">
        <f>IF(B193="",$Z$18,B193)</f>
        <v>East</v>
      </c>
      <c r="N193" t="str">
        <f>IF(D193="",$Z$19,D193)</f>
        <v>Beverages</v>
      </c>
      <c r="O193">
        <f>IF(H193="",$Y$24,H193)</f>
        <v>468</v>
      </c>
      <c r="P193">
        <f>IF(I193="",$Z$24,I193)</f>
        <v>88.38</v>
      </c>
      <c r="Q193">
        <f t="shared" si="10"/>
        <v>41361.839999999997</v>
      </c>
      <c r="R193">
        <f t="shared" si="11"/>
        <v>-10572.120000000003</v>
      </c>
    </row>
    <row r="194" spans="1:18">
      <c r="A194" s="3" t="s">
        <v>239</v>
      </c>
      <c r="B194" s="4" t="s">
        <v>3</v>
      </c>
      <c r="C194" s="4" t="s">
        <v>31</v>
      </c>
      <c r="D194" s="4" t="s">
        <v>13</v>
      </c>
      <c r="E194" s="4" t="s">
        <v>32</v>
      </c>
      <c r="F194" s="4" t="s">
        <v>41</v>
      </c>
      <c r="G194" s="5">
        <v>45119</v>
      </c>
      <c r="H194" s="4">
        <v>36</v>
      </c>
      <c r="I194" s="4">
        <v>323.08</v>
      </c>
      <c r="J194" s="6">
        <v>371.47</v>
      </c>
      <c r="K194">
        <f t="shared" si="8"/>
        <v>78</v>
      </c>
      <c r="L194">
        <f t="shared" si="9"/>
        <v>69</v>
      </c>
      <c r="M194" t="str">
        <f>IF(B194="",$Z$18,B194)</f>
        <v>North</v>
      </c>
      <c r="N194" t="str">
        <f>IF(D194="",$Z$19,D194)</f>
        <v>Furniture</v>
      </c>
      <c r="O194">
        <f>IF(H194="",$Y$24,H194)</f>
        <v>36</v>
      </c>
      <c r="P194">
        <f>IF(I194="",$Z$24,I194)</f>
        <v>323.08</v>
      </c>
      <c r="Q194">
        <f t="shared" si="10"/>
        <v>11630.88</v>
      </c>
      <c r="R194">
        <f t="shared" si="11"/>
        <v>-1742.0400000000027</v>
      </c>
    </row>
    <row r="195" spans="1:18">
      <c r="A195" s="3" t="s">
        <v>240</v>
      </c>
      <c r="B195" s="4" t="s">
        <v>2</v>
      </c>
      <c r="C195" s="4" t="s">
        <v>40</v>
      </c>
      <c r="D195" s="4" t="s">
        <v>10</v>
      </c>
      <c r="E195" s="4" t="s">
        <v>38</v>
      </c>
      <c r="F195" s="4" t="s">
        <v>36</v>
      </c>
      <c r="G195" s="5">
        <v>45120</v>
      </c>
      <c r="H195" s="4">
        <v>204</v>
      </c>
      <c r="I195" s="4">
        <v>380.88</v>
      </c>
      <c r="J195" s="6">
        <v>271.04000000000002</v>
      </c>
      <c r="K195">
        <f t="shared" ref="K195:K258" si="12">IF(B195="",0,COUNTIF($B$2:$B$351,B195))</f>
        <v>91</v>
      </c>
      <c r="L195">
        <f t="shared" ref="L195:L258" si="13">IF(D195="",0,COUNTIF($D$2:$D$351,D195))</f>
        <v>67</v>
      </c>
      <c r="M195" t="str">
        <f>IF(B195="",$Z$18,B195)</f>
        <v>East</v>
      </c>
      <c r="N195" t="str">
        <f>IF(D195="",$Z$19,D195)</f>
        <v>Clothing</v>
      </c>
      <c r="O195">
        <f>IF(H195="",$Y$24,H195)</f>
        <v>204</v>
      </c>
      <c r="P195">
        <f>IF(I195="",$Z$24,I195)</f>
        <v>380.88</v>
      </c>
      <c r="Q195">
        <f t="shared" ref="Q195:Q258" si="14">H195*I195</f>
        <v>77699.520000000004</v>
      </c>
      <c r="R195">
        <f t="shared" ref="R195:R258" si="15">Q195-(H195*J195)</f>
        <v>22407.360000000001</v>
      </c>
    </row>
    <row r="196" spans="1:18">
      <c r="A196" s="3" t="s">
        <v>241</v>
      </c>
      <c r="B196" s="4" t="s">
        <v>2</v>
      </c>
      <c r="C196" s="4" t="s">
        <v>40</v>
      </c>
      <c r="D196" s="4" t="s">
        <v>10</v>
      </c>
      <c r="E196" s="4" t="s">
        <v>32</v>
      </c>
      <c r="F196" s="4" t="s">
        <v>36</v>
      </c>
      <c r="G196" s="5">
        <v>45121</v>
      </c>
      <c r="H196" s="4">
        <v>346</v>
      </c>
      <c r="I196" s="4">
        <v>252.72</v>
      </c>
      <c r="J196" s="6">
        <v>199.43</v>
      </c>
      <c r="K196">
        <f t="shared" si="12"/>
        <v>91</v>
      </c>
      <c r="L196">
        <f t="shared" si="13"/>
        <v>67</v>
      </c>
      <c r="M196" t="str">
        <f>IF(B196="",$Z$18,B196)</f>
        <v>East</v>
      </c>
      <c r="N196" t="str">
        <f>IF(D196="",$Z$19,D196)</f>
        <v>Clothing</v>
      </c>
      <c r="O196">
        <f>IF(H196="",$Y$24,H196)</f>
        <v>346</v>
      </c>
      <c r="P196">
        <f>IF(I196="",$Z$24,I196)</f>
        <v>252.72</v>
      </c>
      <c r="Q196">
        <f t="shared" si="14"/>
        <v>87441.12</v>
      </c>
      <c r="R196">
        <f t="shared" si="15"/>
        <v>18438.339999999997</v>
      </c>
    </row>
    <row r="197" spans="1:18">
      <c r="A197" s="3" t="s">
        <v>242</v>
      </c>
      <c r="B197" s="4" t="s">
        <v>4</v>
      </c>
      <c r="C197" s="4" t="s">
        <v>65</v>
      </c>
      <c r="D197" s="4" t="s">
        <v>9</v>
      </c>
      <c r="E197" s="4" t="s">
        <v>38</v>
      </c>
      <c r="F197" s="4" t="s">
        <v>33</v>
      </c>
      <c r="G197" s="5">
        <v>45122</v>
      </c>
      <c r="H197" s="4">
        <v>391</v>
      </c>
      <c r="I197" s="4">
        <v>273.47000000000003</v>
      </c>
      <c r="J197" s="6">
        <v>7.06</v>
      </c>
      <c r="K197">
        <f t="shared" si="12"/>
        <v>75</v>
      </c>
      <c r="L197">
        <f t="shared" si="13"/>
        <v>83</v>
      </c>
      <c r="M197" t="str">
        <f>IF(B197="",$Z$18,B197)</f>
        <v>South</v>
      </c>
      <c r="N197" t="str">
        <f>IF(D197="",$Z$19,D197)</f>
        <v>Beverages</v>
      </c>
      <c r="O197">
        <f>IF(H197="",$Y$24,H197)</f>
        <v>391</v>
      </c>
      <c r="P197">
        <f>IF(I197="",$Z$24,I197)</f>
        <v>273.47000000000003</v>
      </c>
      <c r="Q197">
        <f t="shared" si="14"/>
        <v>106926.77</v>
      </c>
      <c r="R197">
        <f t="shared" si="15"/>
        <v>104166.31</v>
      </c>
    </row>
    <row r="198" spans="1:18">
      <c r="A198" s="3" t="s">
        <v>243</v>
      </c>
      <c r="B198" s="4" t="s">
        <v>4</v>
      </c>
      <c r="C198" s="4" t="s">
        <v>31</v>
      </c>
      <c r="D198" s="4" t="s">
        <v>9</v>
      </c>
      <c r="E198" s="4" t="s">
        <v>32</v>
      </c>
      <c r="F198" s="4" t="s">
        <v>41</v>
      </c>
      <c r="G198" s="5">
        <v>45123</v>
      </c>
      <c r="H198" s="4">
        <v>245</v>
      </c>
      <c r="I198" s="4">
        <v>475.98</v>
      </c>
      <c r="J198" s="6">
        <v>396.98</v>
      </c>
      <c r="K198">
        <f t="shared" si="12"/>
        <v>75</v>
      </c>
      <c r="L198">
        <f t="shared" si="13"/>
        <v>83</v>
      </c>
      <c r="M198" t="str">
        <f>IF(B198="",$Z$18,B198)</f>
        <v>South</v>
      </c>
      <c r="N198" t="str">
        <f>IF(D198="",$Z$19,D198)</f>
        <v>Beverages</v>
      </c>
      <c r="O198">
        <f>IF(H198="",$Y$24,H198)</f>
        <v>245</v>
      </c>
      <c r="P198">
        <f>IF(I198="",$Z$24,I198)</f>
        <v>475.98</v>
      </c>
      <c r="Q198">
        <f t="shared" si="14"/>
        <v>116615.1</v>
      </c>
      <c r="R198">
        <f t="shared" si="15"/>
        <v>19355</v>
      </c>
    </row>
    <row r="199" spans="1:18">
      <c r="A199" s="3" t="s">
        <v>244</v>
      </c>
      <c r="B199" s="4" t="s">
        <v>5</v>
      </c>
      <c r="C199" s="4" t="s">
        <v>35</v>
      </c>
      <c r="D199" s="4" t="s">
        <v>13</v>
      </c>
      <c r="E199" s="4" t="s">
        <v>38</v>
      </c>
      <c r="F199" s="4" t="s">
        <v>36</v>
      </c>
      <c r="G199" s="5">
        <v>45124</v>
      </c>
      <c r="H199" s="4">
        <v>449</v>
      </c>
      <c r="I199" s="4">
        <v>424.35</v>
      </c>
      <c r="J199" s="6">
        <v>269.24</v>
      </c>
      <c r="K199">
        <f t="shared" si="12"/>
        <v>106</v>
      </c>
      <c r="L199">
        <f t="shared" si="13"/>
        <v>69</v>
      </c>
      <c r="M199" t="str">
        <f>IF(B199="",$Z$18,B199)</f>
        <v>West</v>
      </c>
      <c r="N199" t="str">
        <f>IF(D199="",$Z$19,D199)</f>
        <v>Furniture</v>
      </c>
      <c r="O199">
        <f>IF(H199="",$Y$24,H199)</f>
        <v>449</v>
      </c>
      <c r="P199">
        <f>IF(I199="",$Z$24,I199)</f>
        <v>424.35</v>
      </c>
      <c r="Q199">
        <f t="shared" si="14"/>
        <v>190533.15000000002</v>
      </c>
      <c r="R199">
        <f t="shared" si="15"/>
        <v>69644.390000000014</v>
      </c>
    </row>
    <row r="200" spans="1:18">
      <c r="A200" s="3" t="s">
        <v>245</v>
      </c>
      <c r="B200" s="4" t="s">
        <v>3</v>
      </c>
      <c r="C200" s="4" t="s">
        <v>65</v>
      </c>
      <c r="D200" s="4" t="s">
        <v>12</v>
      </c>
      <c r="E200" s="4" t="s">
        <v>38</v>
      </c>
      <c r="F200" s="4" t="s">
        <v>41</v>
      </c>
      <c r="G200" s="5">
        <v>45125</v>
      </c>
      <c r="H200" s="4">
        <v>101</v>
      </c>
      <c r="I200" s="4">
        <v>457.55</v>
      </c>
      <c r="J200" s="6">
        <v>128.13999999999999</v>
      </c>
      <c r="K200">
        <f t="shared" si="12"/>
        <v>78</v>
      </c>
      <c r="L200">
        <f t="shared" si="13"/>
        <v>61</v>
      </c>
      <c r="M200" t="str">
        <f>IF(B200="",$Z$18,B200)</f>
        <v>North</v>
      </c>
      <c r="N200" t="str">
        <f>IF(D200="",$Z$19,D200)</f>
        <v>Food</v>
      </c>
      <c r="O200">
        <f>IF(H200="",$Y$24,H200)</f>
        <v>101</v>
      </c>
      <c r="P200">
        <f>IF(I200="",$Z$24,I200)</f>
        <v>457.55</v>
      </c>
      <c r="Q200">
        <f t="shared" si="14"/>
        <v>46212.55</v>
      </c>
      <c r="R200">
        <f t="shared" si="15"/>
        <v>33270.410000000003</v>
      </c>
    </row>
    <row r="201" spans="1:18">
      <c r="A201" s="3" t="s">
        <v>246</v>
      </c>
      <c r="B201" s="4" t="s">
        <v>2</v>
      </c>
      <c r="C201" s="4" t="s">
        <v>40</v>
      </c>
      <c r="D201" s="4" t="s">
        <v>13</v>
      </c>
      <c r="E201" s="4" t="s">
        <v>32</v>
      </c>
      <c r="F201" s="4" t="s">
        <v>36</v>
      </c>
      <c r="G201" s="5">
        <v>45126</v>
      </c>
      <c r="H201" s="4">
        <v>255.90294117647059</v>
      </c>
      <c r="I201" s="4">
        <v>407.81</v>
      </c>
      <c r="J201" s="6">
        <v>351.95</v>
      </c>
      <c r="K201">
        <f t="shared" si="12"/>
        <v>91</v>
      </c>
      <c r="L201">
        <f t="shared" si="13"/>
        <v>69</v>
      </c>
      <c r="M201" t="str">
        <f>IF(B201="",$Z$18,B201)</f>
        <v>East</v>
      </c>
      <c r="N201" t="str">
        <f>IF(D201="",$Z$19,D201)</f>
        <v>Furniture</v>
      </c>
      <c r="O201">
        <f>IF(H201="",$Y$24,H201)</f>
        <v>255.90294117647059</v>
      </c>
      <c r="P201">
        <f>IF(I201="",$Z$24,I201)</f>
        <v>407.81</v>
      </c>
      <c r="Q201">
        <f t="shared" si="14"/>
        <v>104359.77844117647</v>
      </c>
      <c r="R201">
        <f t="shared" si="15"/>
        <v>14294.738294117647</v>
      </c>
    </row>
    <row r="202" spans="1:18">
      <c r="A202" s="3" t="s">
        <v>247</v>
      </c>
      <c r="B202" s="4" t="s">
        <v>2</v>
      </c>
      <c r="C202" s="4" t="s">
        <v>40</v>
      </c>
      <c r="D202" s="4" t="s">
        <v>9</v>
      </c>
      <c r="E202" s="4" t="s">
        <v>38</v>
      </c>
      <c r="F202" s="4" t="s">
        <v>36</v>
      </c>
      <c r="G202" s="5">
        <v>45127</v>
      </c>
      <c r="H202" s="4">
        <v>30</v>
      </c>
      <c r="I202" s="4">
        <v>58.91</v>
      </c>
      <c r="J202" s="6">
        <v>104.86</v>
      </c>
      <c r="K202">
        <f t="shared" si="12"/>
        <v>91</v>
      </c>
      <c r="L202">
        <f t="shared" si="13"/>
        <v>83</v>
      </c>
      <c r="M202" t="str">
        <f>IF(B202="",$Z$18,B202)</f>
        <v>East</v>
      </c>
      <c r="N202" t="str">
        <f>IF(D202="",$Z$19,D202)</f>
        <v>Beverages</v>
      </c>
      <c r="O202">
        <f>IF(H202="",$Y$24,H202)</f>
        <v>30</v>
      </c>
      <c r="P202">
        <f>IF(I202="",$Z$24,I202)</f>
        <v>58.91</v>
      </c>
      <c r="Q202">
        <f t="shared" si="14"/>
        <v>1767.3</v>
      </c>
      <c r="R202">
        <f t="shared" si="15"/>
        <v>-1378.5000000000002</v>
      </c>
    </row>
    <row r="203" spans="1:18">
      <c r="A203" s="3" t="s">
        <v>248</v>
      </c>
      <c r="B203" s="4" t="s">
        <v>5</v>
      </c>
      <c r="C203" s="4" t="s">
        <v>65</v>
      </c>
      <c r="D203" s="4" t="s">
        <v>9</v>
      </c>
      <c r="E203" s="4" t="s">
        <v>32</v>
      </c>
      <c r="F203" s="4" t="s">
        <v>41</v>
      </c>
      <c r="G203" s="5">
        <v>45128</v>
      </c>
      <c r="H203" s="4">
        <v>312</v>
      </c>
      <c r="I203" s="4">
        <v>78.75</v>
      </c>
      <c r="J203" s="6">
        <v>218.52</v>
      </c>
      <c r="K203">
        <f t="shared" si="12"/>
        <v>106</v>
      </c>
      <c r="L203">
        <f t="shared" si="13"/>
        <v>83</v>
      </c>
      <c r="M203" t="str">
        <f>IF(B203="",$Z$18,B203)</f>
        <v>West</v>
      </c>
      <c r="N203" t="str">
        <f>IF(D203="",$Z$19,D203)</f>
        <v>Beverages</v>
      </c>
      <c r="O203">
        <f>IF(H203="",$Y$24,H203)</f>
        <v>312</v>
      </c>
      <c r="P203">
        <f>IF(I203="",$Z$24,I203)</f>
        <v>78.75</v>
      </c>
      <c r="Q203">
        <f t="shared" si="14"/>
        <v>24570</v>
      </c>
      <c r="R203">
        <f t="shared" si="15"/>
        <v>-43608.240000000005</v>
      </c>
    </row>
    <row r="204" spans="1:18">
      <c r="A204" s="3" t="s">
        <v>249</v>
      </c>
      <c r="B204" s="4" t="s">
        <v>2</v>
      </c>
      <c r="C204" s="4" t="s">
        <v>31</v>
      </c>
      <c r="D204" s="4" t="s">
        <v>11</v>
      </c>
      <c r="E204" s="4" t="s">
        <v>38</v>
      </c>
      <c r="F204" s="4" t="s">
        <v>36</v>
      </c>
      <c r="G204" s="5">
        <v>45129</v>
      </c>
      <c r="H204" s="4">
        <v>473</v>
      </c>
      <c r="I204" s="4">
        <v>265.68</v>
      </c>
      <c r="J204" s="6">
        <v>255.16</v>
      </c>
      <c r="K204">
        <f t="shared" si="12"/>
        <v>91</v>
      </c>
      <c r="L204">
        <f t="shared" si="13"/>
        <v>70</v>
      </c>
      <c r="M204" t="str">
        <f>IF(B204="",$Z$18,B204)</f>
        <v>East</v>
      </c>
      <c r="N204" t="str">
        <f>IF(D204="",$Z$19,D204)</f>
        <v>Electronics</v>
      </c>
      <c r="O204">
        <f>IF(H204="",$Y$24,H204)</f>
        <v>473</v>
      </c>
      <c r="P204">
        <f>IF(I204="",$Z$24,I204)</f>
        <v>265.68</v>
      </c>
      <c r="Q204">
        <f t="shared" si="14"/>
        <v>125666.64</v>
      </c>
      <c r="R204">
        <f t="shared" si="15"/>
        <v>4975.9600000000064</v>
      </c>
    </row>
    <row r="205" spans="1:18">
      <c r="A205" s="3" t="s">
        <v>250</v>
      </c>
      <c r="B205" s="4" t="s">
        <v>3</v>
      </c>
      <c r="C205" s="4" t="s">
        <v>40</v>
      </c>
      <c r="D205" s="4" t="s">
        <v>9</v>
      </c>
      <c r="E205" s="4" t="s">
        <v>32</v>
      </c>
      <c r="F205" s="4" t="s">
        <v>41</v>
      </c>
      <c r="G205" s="5">
        <v>45130</v>
      </c>
      <c r="H205" s="4">
        <v>366</v>
      </c>
      <c r="I205" s="4">
        <v>126.8</v>
      </c>
      <c r="J205" s="6">
        <v>89.98</v>
      </c>
      <c r="K205">
        <f t="shared" si="12"/>
        <v>78</v>
      </c>
      <c r="L205">
        <f t="shared" si="13"/>
        <v>83</v>
      </c>
      <c r="M205" t="str">
        <f>IF(B205="",$Z$18,B205)</f>
        <v>North</v>
      </c>
      <c r="N205" t="str">
        <f>IF(D205="",$Z$19,D205)</f>
        <v>Beverages</v>
      </c>
      <c r="O205">
        <f>IF(H205="",$Y$24,H205)</f>
        <v>366</v>
      </c>
      <c r="P205">
        <f>IF(I205="",$Z$24,I205)</f>
        <v>126.8</v>
      </c>
      <c r="Q205">
        <f t="shared" si="14"/>
        <v>46408.799999999996</v>
      </c>
      <c r="R205">
        <f t="shared" si="15"/>
        <v>13476.119999999995</v>
      </c>
    </row>
    <row r="206" spans="1:18">
      <c r="A206" s="3" t="s">
        <v>251</v>
      </c>
      <c r="B206" s="4" t="s">
        <v>5</v>
      </c>
      <c r="C206" s="4" t="s">
        <v>31</v>
      </c>
      <c r="D206" s="4" t="s">
        <v>11</v>
      </c>
      <c r="E206" s="4" t="s">
        <v>32</v>
      </c>
      <c r="F206" s="4" t="s">
        <v>36</v>
      </c>
      <c r="G206" s="5">
        <v>45131</v>
      </c>
      <c r="H206" s="4">
        <v>452</v>
      </c>
      <c r="I206" s="4">
        <v>240.96</v>
      </c>
      <c r="J206" s="6">
        <v>391.4</v>
      </c>
      <c r="K206">
        <f t="shared" si="12"/>
        <v>106</v>
      </c>
      <c r="L206">
        <f t="shared" si="13"/>
        <v>70</v>
      </c>
      <c r="M206" t="str">
        <f>IF(B206="",$Z$18,B206)</f>
        <v>West</v>
      </c>
      <c r="N206" t="str">
        <f>IF(D206="",$Z$19,D206)</f>
        <v>Electronics</v>
      </c>
      <c r="O206">
        <f>IF(H206="",$Y$24,H206)</f>
        <v>452</v>
      </c>
      <c r="P206">
        <f>IF(I206="",$Z$24,I206)</f>
        <v>240.96</v>
      </c>
      <c r="Q206">
        <f t="shared" si="14"/>
        <v>108913.92</v>
      </c>
      <c r="R206">
        <f t="shared" si="15"/>
        <v>-67998.87999999999</v>
      </c>
    </row>
    <row r="207" spans="1:18">
      <c r="A207" s="3" t="s">
        <v>252</v>
      </c>
      <c r="B207" s="4" t="s">
        <v>3</v>
      </c>
      <c r="C207" s="4" t="s">
        <v>40</v>
      </c>
      <c r="D207" s="4" t="s">
        <v>12</v>
      </c>
      <c r="E207" s="4" t="s">
        <v>38</v>
      </c>
      <c r="F207" s="4" t="s">
        <v>33</v>
      </c>
      <c r="G207" s="5">
        <v>45132</v>
      </c>
      <c r="H207" s="4">
        <v>93</v>
      </c>
      <c r="I207" s="4">
        <v>200.21</v>
      </c>
      <c r="J207" s="6">
        <v>299.77999999999997</v>
      </c>
      <c r="K207">
        <f t="shared" si="12"/>
        <v>78</v>
      </c>
      <c r="L207">
        <f t="shared" si="13"/>
        <v>61</v>
      </c>
      <c r="M207" t="str">
        <f>IF(B207="",$Z$18,B207)</f>
        <v>North</v>
      </c>
      <c r="N207" t="str">
        <f>IF(D207="",$Z$19,D207)</f>
        <v>Food</v>
      </c>
      <c r="O207">
        <f>IF(H207="",$Y$24,H207)</f>
        <v>93</v>
      </c>
      <c r="P207">
        <f>IF(I207="",$Z$24,I207)</f>
        <v>200.21</v>
      </c>
      <c r="Q207">
        <f t="shared" si="14"/>
        <v>18619.530000000002</v>
      </c>
      <c r="R207">
        <f t="shared" si="15"/>
        <v>-9260.0099999999948</v>
      </c>
    </row>
    <row r="208" spans="1:18">
      <c r="A208" s="3" t="s">
        <v>253</v>
      </c>
      <c r="B208" s="4" t="s">
        <v>5</v>
      </c>
      <c r="C208" s="4" t="s">
        <v>40</v>
      </c>
      <c r="D208" s="4" t="s">
        <v>13</v>
      </c>
      <c r="E208" s="4" t="s">
        <v>32</v>
      </c>
      <c r="F208" s="4" t="s">
        <v>41</v>
      </c>
      <c r="G208" s="5">
        <v>45133</v>
      </c>
      <c r="H208" s="4">
        <v>271</v>
      </c>
      <c r="I208" s="4">
        <v>276.95999999999998</v>
      </c>
      <c r="J208" s="6">
        <v>224.01</v>
      </c>
      <c r="K208">
        <f t="shared" si="12"/>
        <v>106</v>
      </c>
      <c r="L208">
        <f t="shared" si="13"/>
        <v>69</v>
      </c>
      <c r="M208" t="str">
        <f>IF(B208="",$Z$18,B208)</f>
        <v>West</v>
      </c>
      <c r="N208" t="str">
        <f>IF(D208="",$Z$19,D208)</f>
        <v>Furniture</v>
      </c>
      <c r="O208">
        <f>IF(H208="",$Y$24,H208)</f>
        <v>271</v>
      </c>
      <c r="P208">
        <f>IF(I208="",$Z$24,I208)</f>
        <v>276.95999999999998</v>
      </c>
      <c r="Q208">
        <f t="shared" si="14"/>
        <v>75056.159999999989</v>
      </c>
      <c r="R208">
        <f t="shared" si="15"/>
        <v>14349.44999999999</v>
      </c>
    </row>
    <row r="209" spans="1:18">
      <c r="A209" s="3" t="s">
        <v>254</v>
      </c>
      <c r="B209" s="4" t="s">
        <v>5</v>
      </c>
      <c r="C209" s="4" t="s">
        <v>46</v>
      </c>
      <c r="D209" s="4" t="s">
        <v>13</v>
      </c>
      <c r="E209" s="4" t="s">
        <v>32</v>
      </c>
      <c r="F209" s="4" t="s">
        <v>36</v>
      </c>
      <c r="G209" s="5">
        <v>45134</v>
      </c>
      <c r="H209" s="4">
        <v>156</v>
      </c>
      <c r="I209" s="4">
        <v>374.7</v>
      </c>
      <c r="J209" s="6">
        <v>73.88</v>
      </c>
      <c r="K209">
        <f t="shared" si="12"/>
        <v>106</v>
      </c>
      <c r="L209">
        <f t="shared" si="13"/>
        <v>69</v>
      </c>
      <c r="M209" t="str">
        <f>IF(B209="",$Z$18,B209)</f>
        <v>West</v>
      </c>
      <c r="N209" t="str">
        <f>IF(D209="",$Z$19,D209)</f>
        <v>Furniture</v>
      </c>
      <c r="O209">
        <f>IF(H209="",$Y$24,H209)</f>
        <v>156</v>
      </c>
      <c r="P209">
        <f>IF(I209="",$Z$24,I209)</f>
        <v>374.7</v>
      </c>
      <c r="Q209">
        <f t="shared" si="14"/>
        <v>58453.2</v>
      </c>
      <c r="R209">
        <f t="shared" si="15"/>
        <v>46927.92</v>
      </c>
    </row>
    <row r="210" spans="1:18">
      <c r="A210" s="3" t="s">
        <v>255</v>
      </c>
      <c r="B210" s="4" t="s">
        <v>4</v>
      </c>
      <c r="C210" s="4" t="s">
        <v>40</v>
      </c>
      <c r="D210" s="4" t="s">
        <v>11</v>
      </c>
      <c r="E210" s="4" t="s">
        <v>38</v>
      </c>
      <c r="F210" s="4" t="s">
        <v>36</v>
      </c>
      <c r="G210" s="5">
        <v>45135</v>
      </c>
      <c r="H210" s="4">
        <v>450</v>
      </c>
      <c r="I210" s="4">
        <v>359.17</v>
      </c>
      <c r="J210" s="6">
        <v>23.44</v>
      </c>
      <c r="K210">
        <f t="shared" si="12"/>
        <v>75</v>
      </c>
      <c r="L210">
        <f t="shared" si="13"/>
        <v>70</v>
      </c>
      <c r="M210" t="str">
        <f>IF(B210="",$Z$18,B210)</f>
        <v>South</v>
      </c>
      <c r="N210" t="str">
        <f>IF(D210="",$Z$19,D210)</f>
        <v>Electronics</v>
      </c>
      <c r="O210">
        <f>IF(H210="",$Y$24,H210)</f>
        <v>450</v>
      </c>
      <c r="P210">
        <f>IF(I210="",$Z$24,I210)</f>
        <v>359.17</v>
      </c>
      <c r="Q210">
        <f t="shared" si="14"/>
        <v>161626.5</v>
      </c>
      <c r="R210">
        <f t="shared" si="15"/>
        <v>151078.5</v>
      </c>
    </row>
    <row r="211" spans="1:18">
      <c r="A211" s="3" t="s">
        <v>256</v>
      </c>
      <c r="B211" s="4" t="s">
        <v>3</v>
      </c>
      <c r="C211" s="4" t="s">
        <v>35</v>
      </c>
      <c r="D211" s="4" t="s">
        <v>13</v>
      </c>
      <c r="E211" s="4" t="s">
        <v>32</v>
      </c>
      <c r="F211" s="4" t="s">
        <v>33</v>
      </c>
      <c r="G211" s="5">
        <v>45136</v>
      </c>
      <c r="H211" s="4">
        <v>462</v>
      </c>
      <c r="I211" s="4">
        <v>263.01</v>
      </c>
      <c r="J211" s="6">
        <v>129.38</v>
      </c>
      <c r="K211">
        <f t="shared" si="12"/>
        <v>78</v>
      </c>
      <c r="L211">
        <f t="shared" si="13"/>
        <v>69</v>
      </c>
      <c r="M211" t="str">
        <f>IF(B211="",$Z$18,B211)</f>
        <v>North</v>
      </c>
      <c r="N211" t="str">
        <f>IF(D211="",$Z$19,D211)</f>
        <v>Furniture</v>
      </c>
      <c r="O211">
        <f>IF(H211="",$Y$24,H211)</f>
        <v>462</v>
      </c>
      <c r="P211">
        <f>IF(I211="",$Z$24,I211)</f>
        <v>263.01</v>
      </c>
      <c r="Q211">
        <f t="shared" si="14"/>
        <v>121510.62</v>
      </c>
      <c r="R211">
        <f t="shared" si="15"/>
        <v>61737.06</v>
      </c>
    </row>
    <row r="212" spans="1:18">
      <c r="A212" s="3" t="s">
        <v>257</v>
      </c>
      <c r="B212" s="4" t="s">
        <v>2</v>
      </c>
      <c r="C212" s="4" t="s">
        <v>65</v>
      </c>
      <c r="D212" s="4" t="s">
        <v>9</v>
      </c>
      <c r="E212" s="4" t="s">
        <v>32</v>
      </c>
      <c r="F212" s="4" t="s">
        <v>41</v>
      </c>
      <c r="G212" s="5">
        <v>45137</v>
      </c>
      <c r="H212" s="4">
        <v>396</v>
      </c>
      <c r="I212" s="4">
        <v>412.08</v>
      </c>
      <c r="J212" s="6">
        <v>301.77</v>
      </c>
      <c r="K212">
        <f t="shared" si="12"/>
        <v>91</v>
      </c>
      <c r="L212">
        <f t="shared" si="13"/>
        <v>83</v>
      </c>
      <c r="M212" t="str">
        <f>IF(B212="",$Z$18,B212)</f>
        <v>East</v>
      </c>
      <c r="N212" t="str">
        <f>IF(D212="",$Z$19,D212)</f>
        <v>Beverages</v>
      </c>
      <c r="O212">
        <f>IF(H212="",$Y$24,H212)</f>
        <v>396</v>
      </c>
      <c r="P212">
        <f>IF(I212="",$Z$24,I212)</f>
        <v>412.08</v>
      </c>
      <c r="Q212">
        <f t="shared" si="14"/>
        <v>163183.67999999999</v>
      </c>
      <c r="R212">
        <f t="shared" si="15"/>
        <v>43682.759999999995</v>
      </c>
    </row>
    <row r="213" spans="1:18">
      <c r="A213" s="3" t="s">
        <v>258</v>
      </c>
      <c r="B213" s="4" t="s">
        <v>2</v>
      </c>
      <c r="C213" s="4" t="s">
        <v>65</v>
      </c>
      <c r="D213" s="4" t="s">
        <v>10</v>
      </c>
      <c r="E213" s="4" t="s">
        <v>38</v>
      </c>
      <c r="F213" s="4" t="s">
        <v>36</v>
      </c>
      <c r="G213" s="5">
        <v>45138</v>
      </c>
      <c r="H213" s="4">
        <v>266</v>
      </c>
      <c r="I213" s="4">
        <v>218.28</v>
      </c>
      <c r="J213" s="6">
        <v>109.19</v>
      </c>
      <c r="K213">
        <f t="shared" si="12"/>
        <v>91</v>
      </c>
      <c r="L213">
        <f t="shared" si="13"/>
        <v>67</v>
      </c>
      <c r="M213" t="str">
        <f>IF(B213="",$Z$18,B213)</f>
        <v>East</v>
      </c>
      <c r="N213" t="str">
        <f>IF(D213="",$Z$19,D213)</f>
        <v>Clothing</v>
      </c>
      <c r="O213">
        <f>IF(H213="",$Y$24,H213)</f>
        <v>266</v>
      </c>
      <c r="P213">
        <f>IF(I213="",$Z$24,I213)</f>
        <v>218.28</v>
      </c>
      <c r="Q213">
        <f t="shared" si="14"/>
        <v>58062.48</v>
      </c>
      <c r="R213">
        <f t="shared" si="15"/>
        <v>29017.940000000002</v>
      </c>
    </row>
    <row r="214" spans="1:18">
      <c r="A214" s="3" t="s">
        <v>259</v>
      </c>
      <c r="B214" s="4" t="s">
        <v>3</v>
      </c>
      <c r="C214" s="4" t="s">
        <v>31</v>
      </c>
      <c r="D214" s="4" t="s">
        <v>11</v>
      </c>
      <c r="E214" s="4" t="s">
        <v>38</v>
      </c>
      <c r="F214" s="4" t="s">
        <v>33</v>
      </c>
      <c r="G214" s="5">
        <v>45139</v>
      </c>
      <c r="H214" s="4">
        <v>67</v>
      </c>
      <c r="I214" s="4">
        <v>448.87</v>
      </c>
      <c r="J214" s="6">
        <v>216.74</v>
      </c>
      <c r="K214">
        <f t="shared" si="12"/>
        <v>78</v>
      </c>
      <c r="L214">
        <f t="shared" si="13"/>
        <v>70</v>
      </c>
      <c r="M214" t="str">
        <f>IF(B214="",$Z$18,B214)</f>
        <v>North</v>
      </c>
      <c r="N214" t="str">
        <f>IF(D214="",$Z$19,D214)</f>
        <v>Electronics</v>
      </c>
      <c r="O214">
        <f>IF(H214="",$Y$24,H214)</f>
        <v>67</v>
      </c>
      <c r="P214">
        <f>IF(I214="",$Z$24,I214)</f>
        <v>448.87</v>
      </c>
      <c r="Q214">
        <f t="shared" si="14"/>
        <v>30074.29</v>
      </c>
      <c r="R214">
        <f t="shared" si="15"/>
        <v>15552.710000000001</v>
      </c>
    </row>
    <row r="215" spans="1:18">
      <c r="A215" s="3" t="s">
        <v>260</v>
      </c>
      <c r="B215" s="4" t="s">
        <v>2</v>
      </c>
      <c r="C215" s="4" t="s">
        <v>40</v>
      </c>
      <c r="D215" s="4" t="s">
        <v>13</v>
      </c>
      <c r="E215" s="4" t="s">
        <v>32</v>
      </c>
      <c r="F215" s="4" t="s">
        <v>36</v>
      </c>
      <c r="G215" s="5">
        <v>45140</v>
      </c>
      <c r="H215" s="4">
        <v>389</v>
      </c>
      <c r="I215" s="4">
        <v>40.28</v>
      </c>
      <c r="J215" s="6">
        <v>291.72000000000003</v>
      </c>
      <c r="K215">
        <f t="shared" si="12"/>
        <v>91</v>
      </c>
      <c r="L215">
        <f t="shared" si="13"/>
        <v>69</v>
      </c>
      <c r="M215" t="str">
        <f>IF(B215="",$Z$18,B215)</f>
        <v>East</v>
      </c>
      <c r="N215" t="str">
        <f>IF(D215="",$Z$19,D215)</f>
        <v>Furniture</v>
      </c>
      <c r="O215">
        <f>IF(H215="",$Y$24,H215)</f>
        <v>389</v>
      </c>
      <c r="P215">
        <f>IF(I215="",$Z$24,I215)</f>
        <v>40.28</v>
      </c>
      <c r="Q215">
        <f t="shared" si="14"/>
        <v>15668.92</v>
      </c>
      <c r="R215">
        <f t="shared" si="15"/>
        <v>-97810.160000000018</v>
      </c>
    </row>
    <row r="216" spans="1:18">
      <c r="A216" s="3" t="s">
        <v>261</v>
      </c>
      <c r="B216" s="4" t="s">
        <v>2</v>
      </c>
      <c r="C216" s="4" t="s">
        <v>35</v>
      </c>
      <c r="D216" s="4" t="s">
        <v>11</v>
      </c>
      <c r="E216" s="4" t="s">
        <v>32</v>
      </c>
      <c r="F216" s="4" t="s">
        <v>41</v>
      </c>
      <c r="G216" s="5">
        <v>45141</v>
      </c>
      <c r="H216" s="4">
        <v>431</v>
      </c>
      <c r="I216" s="4">
        <v>477.56</v>
      </c>
      <c r="J216" s="6">
        <v>44.96</v>
      </c>
      <c r="K216">
        <f t="shared" si="12"/>
        <v>91</v>
      </c>
      <c r="L216">
        <f t="shared" si="13"/>
        <v>70</v>
      </c>
      <c r="M216" t="str">
        <f>IF(B216="",$Z$18,B216)</f>
        <v>East</v>
      </c>
      <c r="N216" t="str">
        <f>IF(D216="",$Z$19,D216)</f>
        <v>Electronics</v>
      </c>
      <c r="O216">
        <f>IF(H216="",$Y$24,H216)</f>
        <v>431</v>
      </c>
      <c r="P216">
        <f>IF(I216="",$Z$24,I216)</f>
        <v>477.56</v>
      </c>
      <c r="Q216">
        <f t="shared" si="14"/>
        <v>205828.36000000002</v>
      </c>
      <c r="R216">
        <f t="shared" si="15"/>
        <v>186450.6</v>
      </c>
    </row>
    <row r="217" spans="1:18">
      <c r="A217" s="3" t="s">
        <v>262</v>
      </c>
      <c r="B217" s="4" t="s">
        <v>3</v>
      </c>
      <c r="C217" s="4" t="s">
        <v>31</v>
      </c>
      <c r="D217" s="4" t="s">
        <v>11</v>
      </c>
      <c r="E217" s="4" t="s">
        <v>38</v>
      </c>
      <c r="F217" s="4" t="s">
        <v>36</v>
      </c>
      <c r="G217" s="5">
        <v>45142</v>
      </c>
      <c r="H217" s="4">
        <v>24</v>
      </c>
      <c r="I217" s="4">
        <v>329.07</v>
      </c>
      <c r="J217" s="6">
        <v>274.75</v>
      </c>
      <c r="K217">
        <f t="shared" si="12"/>
        <v>78</v>
      </c>
      <c r="L217">
        <f t="shared" si="13"/>
        <v>70</v>
      </c>
      <c r="M217" t="str">
        <f>IF(B217="",$Z$18,B217)</f>
        <v>North</v>
      </c>
      <c r="N217" t="str">
        <f>IF(D217="",$Z$19,D217)</f>
        <v>Electronics</v>
      </c>
      <c r="O217">
        <f>IF(H217="",$Y$24,H217)</f>
        <v>24</v>
      </c>
      <c r="P217">
        <f>IF(I217="",$Z$24,I217)</f>
        <v>329.07</v>
      </c>
      <c r="Q217">
        <f t="shared" si="14"/>
        <v>7897.68</v>
      </c>
      <c r="R217">
        <f t="shared" si="15"/>
        <v>1303.6800000000003</v>
      </c>
    </row>
    <row r="218" spans="1:18">
      <c r="A218" s="3" t="s">
        <v>263</v>
      </c>
      <c r="B218" s="4" t="s">
        <v>5</v>
      </c>
      <c r="C218" s="4" t="s">
        <v>46</v>
      </c>
      <c r="D218" s="4" t="s">
        <v>10</v>
      </c>
      <c r="E218" s="4" t="s">
        <v>38</v>
      </c>
      <c r="F218" s="4" t="s">
        <v>36</v>
      </c>
      <c r="G218" s="5">
        <v>45143</v>
      </c>
      <c r="H218" s="4">
        <v>171</v>
      </c>
      <c r="I218" s="4">
        <v>193.14</v>
      </c>
      <c r="J218" s="6">
        <v>38.56</v>
      </c>
      <c r="K218">
        <f t="shared" si="12"/>
        <v>106</v>
      </c>
      <c r="L218">
        <f t="shared" si="13"/>
        <v>67</v>
      </c>
      <c r="M218" t="str">
        <f>IF(B218="",$Z$18,B218)</f>
        <v>West</v>
      </c>
      <c r="N218" t="str">
        <f>IF(D218="",$Z$19,D218)</f>
        <v>Clothing</v>
      </c>
      <c r="O218">
        <f>IF(H218="",$Y$24,H218)</f>
        <v>171</v>
      </c>
      <c r="P218">
        <f>IF(I218="",$Z$24,I218)</f>
        <v>193.14</v>
      </c>
      <c r="Q218">
        <f t="shared" si="14"/>
        <v>33026.939999999995</v>
      </c>
      <c r="R218">
        <f t="shared" si="15"/>
        <v>26433.179999999993</v>
      </c>
    </row>
    <row r="219" spans="1:18">
      <c r="A219" s="3" t="s">
        <v>264</v>
      </c>
      <c r="B219" s="4" t="s">
        <v>3</v>
      </c>
      <c r="C219" s="4" t="s">
        <v>31</v>
      </c>
      <c r="D219" s="4" t="s">
        <v>9</v>
      </c>
      <c r="E219" s="4" t="s">
        <v>32</v>
      </c>
      <c r="F219" s="4" t="s">
        <v>36</v>
      </c>
      <c r="G219" s="5">
        <v>45144</v>
      </c>
      <c r="H219" s="4">
        <v>454</v>
      </c>
      <c r="I219" s="4">
        <v>102.59</v>
      </c>
      <c r="J219" s="6">
        <v>386.12</v>
      </c>
      <c r="K219">
        <f t="shared" si="12"/>
        <v>78</v>
      </c>
      <c r="L219">
        <f t="shared" si="13"/>
        <v>83</v>
      </c>
      <c r="M219" t="str">
        <f>IF(B219="",$Z$18,B219)</f>
        <v>North</v>
      </c>
      <c r="N219" t="str">
        <f>IF(D219="",$Z$19,D219)</f>
        <v>Beverages</v>
      </c>
      <c r="O219">
        <f>IF(H219="",$Y$24,H219)</f>
        <v>454</v>
      </c>
      <c r="P219">
        <f>IF(I219="",$Z$24,I219)</f>
        <v>102.59</v>
      </c>
      <c r="Q219">
        <f t="shared" si="14"/>
        <v>46575.86</v>
      </c>
      <c r="R219">
        <f t="shared" si="15"/>
        <v>-128722.62000000001</v>
      </c>
    </row>
    <row r="220" spans="1:18">
      <c r="A220" s="3" t="s">
        <v>265</v>
      </c>
      <c r="B220" s="4" t="s">
        <v>5</v>
      </c>
      <c r="C220" s="4" t="s">
        <v>31</v>
      </c>
      <c r="D220" s="4" t="s">
        <v>11</v>
      </c>
      <c r="E220" s="4" t="s">
        <v>38</v>
      </c>
      <c r="F220" s="4" t="s">
        <v>36</v>
      </c>
      <c r="G220" s="5">
        <v>45145</v>
      </c>
      <c r="H220" s="4">
        <v>172</v>
      </c>
      <c r="I220" s="4">
        <v>242.2</v>
      </c>
      <c r="J220" s="6">
        <v>196.38</v>
      </c>
      <c r="K220">
        <f t="shared" si="12"/>
        <v>106</v>
      </c>
      <c r="L220">
        <f t="shared" si="13"/>
        <v>70</v>
      </c>
      <c r="M220" t="str">
        <f>IF(B220="",$Z$18,B220)</f>
        <v>West</v>
      </c>
      <c r="N220" t="str">
        <f>IF(D220="",$Z$19,D220)</f>
        <v>Electronics</v>
      </c>
      <c r="O220">
        <f>IF(H220="",$Y$24,H220)</f>
        <v>172</v>
      </c>
      <c r="P220">
        <f>IF(I220="",$Z$24,I220)</f>
        <v>242.2</v>
      </c>
      <c r="Q220">
        <f t="shared" si="14"/>
        <v>41658.400000000001</v>
      </c>
      <c r="R220">
        <f t="shared" si="15"/>
        <v>7881.0400000000009</v>
      </c>
    </row>
    <row r="221" spans="1:18">
      <c r="A221" s="3" t="s">
        <v>266</v>
      </c>
      <c r="B221" s="4" t="s">
        <v>2</v>
      </c>
      <c r="C221" s="4" t="s">
        <v>40</v>
      </c>
      <c r="D221" s="4" t="s">
        <v>13</v>
      </c>
      <c r="E221" s="4" t="s">
        <v>32</v>
      </c>
      <c r="F221" s="4" t="s">
        <v>33</v>
      </c>
      <c r="G221" s="5">
        <v>45146</v>
      </c>
      <c r="H221" s="4">
        <v>329</v>
      </c>
      <c r="I221" s="4">
        <v>101.31</v>
      </c>
      <c r="J221" s="6">
        <v>61.97</v>
      </c>
      <c r="K221">
        <f t="shared" si="12"/>
        <v>91</v>
      </c>
      <c r="L221">
        <f t="shared" si="13"/>
        <v>69</v>
      </c>
      <c r="M221" t="str">
        <f>IF(B221="",$Z$18,B221)</f>
        <v>East</v>
      </c>
      <c r="N221" t="str">
        <f>IF(D221="",$Z$19,D221)</f>
        <v>Furniture</v>
      </c>
      <c r="O221">
        <f>IF(H221="",$Y$24,H221)</f>
        <v>329</v>
      </c>
      <c r="P221">
        <f>IF(I221="",$Z$24,I221)</f>
        <v>101.31</v>
      </c>
      <c r="Q221">
        <f t="shared" si="14"/>
        <v>33330.99</v>
      </c>
      <c r="R221">
        <f t="shared" si="15"/>
        <v>12942.859999999997</v>
      </c>
    </row>
    <row r="222" spans="1:18">
      <c r="A222" s="3" t="s">
        <v>267</v>
      </c>
      <c r="B222" s="4" t="s">
        <v>2</v>
      </c>
      <c r="C222" s="4" t="s">
        <v>46</v>
      </c>
      <c r="D222" s="4" t="s">
        <v>12</v>
      </c>
      <c r="E222" s="4" t="s">
        <v>32</v>
      </c>
      <c r="F222" s="4" t="s">
        <v>33</v>
      </c>
      <c r="G222" s="5">
        <v>45147</v>
      </c>
      <c r="H222" s="4">
        <v>290</v>
      </c>
      <c r="I222" s="4">
        <v>87.33</v>
      </c>
      <c r="J222" s="6">
        <v>138.27000000000001</v>
      </c>
      <c r="K222">
        <f t="shared" si="12"/>
        <v>91</v>
      </c>
      <c r="L222">
        <f t="shared" si="13"/>
        <v>61</v>
      </c>
      <c r="M222" t="str">
        <f>IF(B222="",$Z$18,B222)</f>
        <v>East</v>
      </c>
      <c r="N222" t="str">
        <f>IF(D222="",$Z$19,D222)</f>
        <v>Food</v>
      </c>
      <c r="O222">
        <f>IF(H222="",$Y$24,H222)</f>
        <v>290</v>
      </c>
      <c r="P222">
        <f>IF(I222="",$Z$24,I222)</f>
        <v>87.33</v>
      </c>
      <c r="Q222">
        <f t="shared" si="14"/>
        <v>25325.7</v>
      </c>
      <c r="R222">
        <f t="shared" si="15"/>
        <v>-14772.600000000002</v>
      </c>
    </row>
    <row r="223" spans="1:18">
      <c r="A223" s="3" t="s">
        <v>268</v>
      </c>
      <c r="B223" s="4" t="s">
        <v>5</v>
      </c>
      <c r="C223" s="4" t="s">
        <v>31</v>
      </c>
      <c r="D223" s="4" t="s">
        <v>11</v>
      </c>
      <c r="E223" s="4" t="s">
        <v>32</v>
      </c>
      <c r="F223" s="4" t="s">
        <v>41</v>
      </c>
      <c r="G223" s="5">
        <v>45148</v>
      </c>
      <c r="H223" s="4">
        <v>289</v>
      </c>
      <c r="I223" s="4">
        <v>310.58999999999997</v>
      </c>
      <c r="J223" s="6">
        <v>166.54</v>
      </c>
      <c r="K223">
        <f t="shared" si="12"/>
        <v>106</v>
      </c>
      <c r="L223">
        <f t="shared" si="13"/>
        <v>70</v>
      </c>
      <c r="M223" t="str">
        <f>IF(B223="",$Z$18,B223)</f>
        <v>West</v>
      </c>
      <c r="N223" t="str">
        <f>IF(D223="",$Z$19,D223)</f>
        <v>Electronics</v>
      </c>
      <c r="O223">
        <f>IF(H223="",$Y$24,H223)</f>
        <v>289</v>
      </c>
      <c r="P223">
        <f>IF(I223="",$Z$24,I223)</f>
        <v>310.58999999999997</v>
      </c>
      <c r="Q223">
        <f t="shared" si="14"/>
        <v>89760.51</v>
      </c>
      <c r="R223">
        <f t="shared" si="15"/>
        <v>41630.449999999997</v>
      </c>
    </row>
    <row r="224" spans="1:18">
      <c r="A224" s="3" t="s">
        <v>269</v>
      </c>
      <c r="B224" s="4" t="s">
        <v>4</v>
      </c>
      <c r="C224" s="4" t="s">
        <v>35</v>
      </c>
      <c r="D224" s="4" t="s">
        <v>11</v>
      </c>
      <c r="E224" s="4" t="s">
        <v>32</v>
      </c>
      <c r="F224" s="4" t="s">
        <v>33</v>
      </c>
      <c r="G224" s="5">
        <v>45149</v>
      </c>
      <c r="H224" s="4">
        <v>21</v>
      </c>
      <c r="I224" s="4">
        <v>263.93</v>
      </c>
      <c r="J224" s="6">
        <v>303.76</v>
      </c>
      <c r="K224">
        <f t="shared" si="12"/>
        <v>75</v>
      </c>
      <c r="L224">
        <f t="shared" si="13"/>
        <v>70</v>
      </c>
      <c r="M224" t="str">
        <f>IF(B224="",$Z$18,B224)</f>
        <v>South</v>
      </c>
      <c r="N224" t="str">
        <f>IF(D224="",$Z$19,D224)</f>
        <v>Electronics</v>
      </c>
      <c r="O224">
        <f>IF(H224="",$Y$24,H224)</f>
        <v>21</v>
      </c>
      <c r="P224">
        <f>IF(I224="",$Z$24,I224)</f>
        <v>263.93</v>
      </c>
      <c r="Q224">
        <f t="shared" si="14"/>
        <v>5542.53</v>
      </c>
      <c r="R224">
        <f t="shared" si="15"/>
        <v>-836.43000000000029</v>
      </c>
    </row>
    <row r="225" spans="1:18">
      <c r="A225" s="3" t="s">
        <v>270</v>
      </c>
      <c r="B225" s="4" t="s">
        <v>5</v>
      </c>
      <c r="C225" s="4" t="s">
        <v>35</v>
      </c>
      <c r="D225" s="4" t="s">
        <v>10</v>
      </c>
      <c r="E225" s="4" t="s">
        <v>32</v>
      </c>
      <c r="F225" s="4" t="s">
        <v>33</v>
      </c>
      <c r="G225" s="5">
        <v>45150</v>
      </c>
      <c r="H225" s="4">
        <v>283</v>
      </c>
      <c r="I225" s="4">
        <v>336.7</v>
      </c>
      <c r="J225" s="6">
        <v>297.88</v>
      </c>
      <c r="K225">
        <f t="shared" si="12"/>
        <v>106</v>
      </c>
      <c r="L225">
        <f t="shared" si="13"/>
        <v>67</v>
      </c>
      <c r="M225" t="str">
        <f>IF(B225="",$Z$18,B225)</f>
        <v>West</v>
      </c>
      <c r="N225" t="str">
        <f>IF(D225="",$Z$19,D225)</f>
        <v>Clothing</v>
      </c>
      <c r="O225">
        <f>IF(H225="",$Y$24,H225)</f>
        <v>283</v>
      </c>
      <c r="P225">
        <f>IF(I225="",$Z$24,I225)</f>
        <v>336.7</v>
      </c>
      <c r="Q225">
        <f t="shared" si="14"/>
        <v>95286.099999999991</v>
      </c>
      <c r="R225">
        <f t="shared" si="15"/>
        <v>10986.059999999998</v>
      </c>
    </row>
    <row r="226" spans="1:18">
      <c r="A226" s="3" t="s">
        <v>271</v>
      </c>
      <c r="B226" s="4" t="s">
        <v>4</v>
      </c>
      <c r="C226" s="4" t="s">
        <v>65</v>
      </c>
      <c r="D226" s="4" t="s">
        <v>9</v>
      </c>
      <c r="E226" s="4" t="s">
        <v>38</v>
      </c>
      <c r="F226" s="4" t="s">
        <v>41</v>
      </c>
      <c r="G226" s="5">
        <v>45151</v>
      </c>
      <c r="H226" s="4">
        <v>280</v>
      </c>
      <c r="I226" s="4">
        <v>465.15</v>
      </c>
      <c r="J226" s="6">
        <v>245.55</v>
      </c>
      <c r="K226">
        <f t="shared" si="12"/>
        <v>75</v>
      </c>
      <c r="L226">
        <f t="shared" si="13"/>
        <v>83</v>
      </c>
      <c r="M226" t="str">
        <f>IF(B226="",$Z$18,B226)</f>
        <v>South</v>
      </c>
      <c r="N226" t="str">
        <f>IF(D226="",$Z$19,D226)</f>
        <v>Beverages</v>
      </c>
      <c r="O226">
        <f>IF(H226="",$Y$24,H226)</f>
        <v>280</v>
      </c>
      <c r="P226">
        <f>IF(I226="",$Z$24,I226)</f>
        <v>465.15</v>
      </c>
      <c r="Q226">
        <f t="shared" si="14"/>
        <v>130242</v>
      </c>
      <c r="R226">
        <f t="shared" si="15"/>
        <v>61488</v>
      </c>
    </row>
    <row r="227" spans="1:18">
      <c r="A227" s="3" t="s">
        <v>272</v>
      </c>
      <c r="B227" s="4" t="s">
        <v>4</v>
      </c>
      <c r="C227" s="4" t="s">
        <v>46</v>
      </c>
      <c r="D227" s="4" t="s">
        <v>12</v>
      </c>
      <c r="E227" s="4" t="s">
        <v>38</v>
      </c>
      <c r="F227" s="4" t="s">
        <v>33</v>
      </c>
      <c r="G227" s="5">
        <v>45152</v>
      </c>
      <c r="H227" s="4">
        <v>217</v>
      </c>
      <c r="I227" s="4">
        <v>268.47000000000003</v>
      </c>
      <c r="J227" s="6">
        <v>44.16</v>
      </c>
      <c r="K227">
        <f t="shared" si="12"/>
        <v>75</v>
      </c>
      <c r="L227">
        <f t="shared" si="13"/>
        <v>61</v>
      </c>
      <c r="M227" t="str">
        <f>IF(B227="",$Z$18,B227)</f>
        <v>South</v>
      </c>
      <c r="N227" t="str">
        <f>IF(D227="",$Z$19,D227)</f>
        <v>Food</v>
      </c>
      <c r="O227">
        <f>IF(H227="",$Y$24,H227)</f>
        <v>217</v>
      </c>
      <c r="P227">
        <f>IF(I227="",$Z$24,I227)</f>
        <v>268.47000000000003</v>
      </c>
      <c r="Q227">
        <f t="shared" si="14"/>
        <v>58257.990000000005</v>
      </c>
      <c r="R227">
        <f t="shared" si="15"/>
        <v>48675.270000000004</v>
      </c>
    </row>
    <row r="228" spans="1:18">
      <c r="A228" s="3" t="s">
        <v>273</v>
      </c>
      <c r="B228" s="4" t="s">
        <v>3</v>
      </c>
      <c r="C228" s="4" t="s">
        <v>46</v>
      </c>
      <c r="D228" s="4" t="s">
        <v>13</v>
      </c>
      <c r="E228" s="4" t="s">
        <v>38</v>
      </c>
      <c r="F228" s="4" t="s">
        <v>33</v>
      </c>
      <c r="G228" s="5">
        <v>45153</v>
      </c>
      <c r="H228" s="4">
        <v>36</v>
      </c>
      <c r="I228" s="4">
        <v>292.56</v>
      </c>
      <c r="J228" s="6">
        <v>62.32</v>
      </c>
      <c r="K228">
        <f t="shared" si="12"/>
        <v>78</v>
      </c>
      <c r="L228">
        <f t="shared" si="13"/>
        <v>69</v>
      </c>
      <c r="M228" t="str">
        <f>IF(B228="",$Z$18,B228)</f>
        <v>North</v>
      </c>
      <c r="N228" t="str">
        <f>IF(D228="",$Z$19,D228)</f>
        <v>Furniture</v>
      </c>
      <c r="O228">
        <f>IF(H228="",$Y$24,H228)</f>
        <v>36</v>
      </c>
      <c r="P228">
        <f>IF(I228="",$Z$24,I228)</f>
        <v>292.56</v>
      </c>
      <c r="Q228">
        <f t="shared" si="14"/>
        <v>10532.16</v>
      </c>
      <c r="R228">
        <f t="shared" si="15"/>
        <v>8288.64</v>
      </c>
    </row>
    <row r="229" spans="1:18">
      <c r="A229" s="3" t="s">
        <v>274</v>
      </c>
      <c r="B229" s="4" t="s">
        <v>4</v>
      </c>
      <c r="C229" s="4" t="s">
        <v>65</v>
      </c>
      <c r="D229" s="4" t="s">
        <v>12</v>
      </c>
      <c r="E229" s="4" t="s">
        <v>38</v>
      </c>
      <c r="F229" s="4" t="s">
        <v>41</v>
      </c>
      <c r="G229" s="5">
        <v>45154</v>
      </c>
      <c r="H229" s="4">
        <v>255.90294117647059</v>
      </c>
      <c r="I229" s="4">
        <v>49.37</v>
      </c>
      <c r="J229" s="6">
        <v>39.32</v>
      </c>
      <c r="K229">
        <f t="shared" si="12"/>
        <v>75</v>
      </c>
      <c r="L229">
        <f t="shared" si="13"/>
        <v>61</v>
      </c>
      <c r="M229" t="str">
        <f>IF(B229="",$Z$18,B229)</f>
        <v>South</v>
      </c>
      <c r="N229" t="str">
        <f>IF(D229="",$Z$19,D229)</f>
        <v>Food</v>
      </c>
      <c r="O229">
        <f>IF(H229="",$Y$24,H229)</f>
        <v>255.90294117647059</v>
      </c>
      <c r="P229">
        <f>IF(I229="",$Z$24,I229)</f>
        <v>49.37</v>
      </c>
      <c r="Q229">
        <f t="shared" si="14"/>
        <v>12633.928205882352</v>
      </c>
      <c r="R229">
        <f t="shared" si="15"/>
        <v>2571.8245588235277</v>
      </c>
    </row>
    <row r="230" spans="1:18">
      <c r="A230" s="3" t="s">
        <v>275</v>
      </c>
      <c r="B230" s="4" t="s">
        <v>3</v>
      </c>
      <c r="C230" s="4" t="s">
        <v>31</v>
      </c>
      <c r="D230" s="4" t="s">
        <v>13</v>
      </c>
      <c r="E230" s="4" t="s">
        <v>32</v>
      </c>
      <c r="F230" s="4" t="s">
        <v>41</v>
      </c>
      <c r="G230" s="5">
        <v>45155</v>
      </c>
      <c r="H230" s="4">
        <v>69</v>
      </c>
      <c r="I230" s="4">
        <v>360.23</v>
      </c>
      <c r="J230" s="6">
        <v>231.71</v>
      </c>
      <c r="K230">
        <f t="shared" si="12"/>
        <v>78</v>
      </c>
      <c r="L230">
        <f t="shared" si="13"/>
        <v>69</v>
      </c>
      <c r="M230" t="str">
        <f>IF(B230="",$Z$18,B230)</f>
        <v>North</v>
      </c>
      <c r="N230" t="str">
        <f>IF(D230="",$Z$19,D230)</f>
        <v>Furniture</v>
      </c>
      <c r="O230">
        <f>IF(H230="",$Y$24,H230)</f>
        <v>69</v>
      </c>
      <c r="P230">
        <f>IF(I230="",$Z$24,I230)</f>
        <v>360.23</v>
      </c>
      <c r="Q230">
        <f t="shared" si="14"/>
        <v>24855.870000000003</v>
      </c>
      <c r="R230">
        <f t="shared" si="15"/>
        <v>8867.8800000000028</v>
      </c>
    </row>
    <row r="231" spans="1:18">
      <c r="A231" s="3" t="s">
        <v>276</v>
      </c>
      <c r="B231" s="4" t="s">
        <v>3</v>
      </c>
      <c r="C231" s="4" t="s">
        <v>46</v>
      </c>
      <c r="D231" s="4" t="s">
        <v>9</v>
      </c>
      <c r="E231" s="4" t="s">
        <v>32</v>
      </c>
      <c r="F231" s="4" t="s">
        <v>41</v>
      </c>
      <c r="G231" s="5">
        <v>45156</v>
      </c>
      <c r="H231" s="4">
        <v>439</v>
      </c>
      <c r="I231" s="4">
        <v>202.95</v>
      </c>
      <c r="J231" s="6">
        <v>351.1</v>
      </c>
      <c r="K231">
        <f t="shared" si="12"/>
        <v>78</v>
      </c>
      <c r="L231">
        <f t="shared" si="13"/>
        <v>83</v>
      </c>
      <c r="M231" t="str">
        <f>IF(B231="",$Z$18,B231)</f>
        <v>North</v>
      </c>
      <c r="N231" t="str">
        <f>IF(D231="",$Z$19,D231)</f>
        <v>Beverages</v>
      </c>
      <c r="O231">
        <f>IF(H231="",$Y$24,H231)</f>
        <v>439</v>
      </c>
      <c r="P231">
        <f>IF(I231="",$Z$24,I231)</f>
        <v>202.95</v>
      </c>
      <c r="Q231">
        <f t="shared" si="14"/>
        <v>89095.049999999988</v>
      </c>
      <c r="R231">
        <f t="shared" si="15"/>
        <v>-65037.850000000035</v>
      </c>
    </row>
    <row r="232" spans="1:18">
      <c r="A232" s="3" t="s">
        <v>277</v>
      </c>
      <c r="B232" s="4" t="s">
        <v>4</v>
      </c>
      <c r="C232" s="4" t="s">
        <v>35</v>
      </c>
      <c r="D232" s="4" t="s">
        <v>13</v>
      </c>
      <c r="E232" s="4" t="s">
        <v>32</v>
      </c>
      <c r="F232" s="4" t="s">
        <v>36</v>
      </c>
      <c r="G232" s="5">
        <v>45157</v>
      </c>
      <c r="H232" s="4">
        <v>482</v>
      </c>
      <c r="I232" s="4">
        <v>488.48</v>
      </c>
      <c r="J232" s="6">
        <v>174.65</v>
      </c>
      <c r="K232">
        <f t="shared" si="12"/>
        <v>75</v>
      </c>
      <c r="L232">
        <f t="shared" si="13"/>
        <v>69</v>
      </c>
      <c r="M232" t="str">
        <f>IF(B232="",$Z$18,B232)</f>
        <v>South</v>
      </c>
      <c r="N232" t="str">
        <f>IF(D232="",$Z$19,D232)</f>
        <v>Furniture</v>
      </c>
      <c r="O232">
        <f>IF(H232="",$Y$24,H232)</f>
        <v>482</v>
      </c>
      <c r="P232">
        <f>IF(I232="",$Z$24,I232)</f>
        <v>488.48</v>
      </c>
      <c r="Q232">
        <f t="shared" si="14"/>
        <v>235447.36000000002</v>
      </c>
      <c r="R232">
        <f t="shared" si="15"/>
        <v>151266.06</v>
      </c>
    </row>
    <row r="233" spans="1:18">
      <c r="A233" s="3" t="s">
        <v>278</v>
      </c>
      <c r="B233" s="4" t="s">
        <v>5</v>
      </c>
      <c r="C233" s="4" t="s">
        <v>35</v>
      </c>
      <c r="D233" s="4" t="s">
        <v>10</v>
      </c>
      <c r="E233" s="4" t="s">
        <v>32</v>
      </c>
      <c r="F233" s="4" t="s">
        <v>36</v>
      </c>
      <c r="G233" s="5">
        <v>45158</v>
      </c>
      <c r="H233" s="4">
        <v>154</v>
      </c>
      <c r="I233" s="4">
        <v>412.47</v>
      </c>
      <c r="J233" s="6">
        <v>66.02</v>
      </c>
      <c r="K233">
        <f t="shared" si="12"/>
        <v>106</v>
      </c>
      <c r="L233">
        <f t="shared" si="13"/>
        <v>67</v>
      </c>
      <c r="M233" t="str">
        <f>IF(B233="",$Z$18,B233)</f>
        <v>West</v>
      </c>
      <c r="N233" t="str">
        <f>IF(D233="",$Z$19,D233)</f>
        <v>Clothing</v>
      </c>
      <c r="O233">
        <f>IF(H233="",$Y$24,H233)</f>
        <v>154</v>
      </c>
      <c r="P233">
        <f>IF(I233="",$Z$24,I233)</f>
        <v>412.47</v>
      </c>
      <c r="Q233">
        <f t="shared" si="14"/>
        <v>63520.380000000005</v>
      </c>
      <c r="R233">
        <f t="shared" si="15"/>
        <v>53353.3</v>
      </c>
    </row>
    <row r="234" spans="1:18">
      <c r="A234" s="3" t="s">
        <v>279</v>
      </c>
      <c r="B234" s="4" t="s">
        <v>5</v>
      </c>
      <c r="C234" s="4" t="s">
        <v>40</v>
      </c>
      <c r="D234" s="4" t="s">
        <v>10</v>
      </c>
      <c r="E234" s="4" t="s">
        <v>38</v>
      </c>
      <c r="F234" s="4" t="s">
        <v>41</v>
      </c>
      <c r="G234" s="5">
        <v>45159</v>
      </c>
      <c r="H234" s="4">
        <v>102</v>
      </c>
      <c r="I234" s="4">
        <v>263.63</v>
      </c>
      <c r="J234" s="6">
        <v>224.1</v>
      </c>
      <c r="K234">
        <f t="shared" si="12"/>
        <v>106</v>
      </c>
      <c r="L234">
        <f t="shared" si="13"/>
        <v>67</v>
      </c>
      <c r="M234" t="str">
        <f>IF(B234="",$Z$18,B234)</f>
        <v>West</v>
      </c>
      <c r="N234" t="str">
        <f>IF(D234="",$Z$19,D234)</f>
        <v>Clothing</v>
      </c>
      <c r="O234">
        <f>IF(H234="",$Y$24,H234)</f>
        <v>102</v>
      </c>
      <c r="P234">
        <f>IF(I234="",$Z$24,I234)</f>
        <v>263.63</v>
      </c>
      <c r="Q234">
        <f t="shared" si="14"/>
        <v>26890.26</v>
      </c>
      <c r="R234">
        <f t="shared" si="15"/>
        <v>4032.0599999999977</v>
      </c>
    </row>
    <row r="235" spans="1:18">
      <c r="A235" s="3" t="s">
        <v>280</v>
      </c>
      <c r="B235" s="4" t="s">
        <v>5</v>
      </c>
      <c r="C235" s="4" t="s">
        <v>46</v>
      </c>
      <c r="D235" s="4" t="s">
        <v>10</v>
      </c>
      <c r="E235" s="4" t="s">
        <v>32</v>
      </c>
      <c r="F235" s="4" t="s">
        <v>41</v>
      </c>
      <c r="G235" s="5">
        <v>45160</v>
      </c>
      <c r="H235" s="4">
        <v>318</v>
      </c>
      <c r="I235" s="4">
        <v>66</v>
      </c>
      <c r="J235" s="6">
        <v>325.08</v>
      </c>
      <c r="K235">
        <f t="shared" si="12"/>
        <v>106</v>
      </c>
      <c r="L235">
        <f t="shared" si="13"/>
        <v>67</v>
      </c>
      <c r="M235" t="str">
        <f>IF(B235="",$Z$18,B235)</f>
        <v>West</v>
      </c>
      <c r="N235" t="str">
        <f>IF(D235="",$Z$19,D235)</f>
        <v>Clothing</v>
      </c>
      <c r="O235">
        <f>IF(H235="",$Y$24,H235)</f>
        <v>318</v>
      </c>
      <c r="P235">
        <f>IF(I235="",$Z$24,I235)</f>
        <v>66</v>
      </c>
      <c r="Q235">
        <f t="shared" si="14"/>
        <v>20988</v>
      </c>
      <c r="R235">
        <f t="shared" si="15"/>
        <v>-82387.439999999988</v>
      </c>
    </row>
    <row r="236" spans="1:18">
      <c r="A236" s="3" t="s">
        <v>281</v>
      </c>
      <c r="B236" s="4" t="s">
        <v>5</v>
      </c>
      <c r="C236" s="4" t="s">
        <v>31</v>
      </c>
      <c r="D236" s="4" t="s">
        <v>10</v>
      </c>
      <c r="E236" s="4" t="s">
        <v>32</v>
      </c>
      <c r="F236" s="4" t="s">
        <v>41</v>
      </c>
      <c r="G236" s="5">
        <v>45161</v>
      </c>
      <c r="H236" s="4">
        <v>17</v>
      </c>
      <c r="I236" s="4">
        <v>430.41</v>
      </c>
      <c r="J236" s="6">
        <v>297.2</v>
      </c>
      <c r="K236">
        <f t="shared" si="12"/>
        <v>106</v>
      </c>
      <c r="L236">
        <f t="shared" si="13"/>
        <v>67</v>
      </c>
      <c r="M236" t="str">
        <f>IF(B236="",$Z$18,B236)</f>
        <v>West</v>
      </c>
      <c r="N236" t="str">
        <f>IF(D236="",$Z$19,D236)</f>
        <v>Clothing</v>
      </c>
      <c r="O236">
        <f>IF(H236="",$Y$24,H236)</f>
        <v>17</v>
      </c>
      <c r="P236">
        <f>IF(I236="",$Z$24,I236)</f>
        <v>430.41</v>
      </c>
      <c r="Q236">
        <f t="shared" si="14"/>
        <v>7316.97</v>
      </c>
      <c r="R236">
        <f t="shared" si="15"/>
        <v>2264.5700000000006</v>
      </c>
    </row>
    <row r="237" spans="1:18">
      <c r="A237" s="3" t="s">
        <v>282</v>
      </c>
      <c r="B237" s="4" t="s">
        <v>5</v>
      </c>
      <c r="C237" s="4" t="s">
        <v>65</v>
      </c>
      <c r="D237" s="4" t="s">
        <v>12</v>
      </c>
      <c r="E237" s="4" t="s">
        <v>38</v>
      </c>
      <c r="F237" s="4" t="s">
        <v>36</v>
      </c>
      <c r="G237" s="5">
        <v>45162</v>
      </c>
      <c r="H237" s="4">
        <v>88</v>
      </c>
      <c r="I237" s="4">
        <v>400.89</v>
      </c>
      <c r="J237" s="6">
        <v>352.82</v>
      </c>
      <c r="K237">
        <f t="shared" si="12"/>
        <v>106</v>
      </c>
      <c r="L237">
        <f t="shared" si="13"/>
        <v>61</v>
      </c>
      <c r="M237" t="str">
        <f>IF(B237="",$Z$18,B237)</f>
        <v>West</v>
      </c>
      <c r="N237" t="str">
        <f>IF(D237="",$Z$19,D237)</f>
        <v>Food</v>
      </c>
      <c r="O237">
        <f>IF(H237="",$Y$24,H237)</f>
        <v>88</v>
      </c>
      <c r="P237">
        <f>IF(I237="",$Z$24,I237)</f>
        <v>400.89</v>
      </c>
      <c r="Q237">
        <f t="shared" si="14"/>
        <v>35278.32</v>
      </c>
      <c r="R237">
        <f t="shared" si="15"/>
        <v>4230.16</v>
      </c>
    </row>
    <row r="238" spans="1:18">
      <c r="A238" s="3" t="s">
        <v>283</v>
      </c>
      <c r="B238" s="4" t="s">
        <v>4</v>
      </c>
      <c r="C238" s="4" t="s">
        <v>65</v>
      </c>
      <c r="D238" s="4" t="s">
        <v>9</v>
      </c>
      <c r="E238" s="4" t="s">
        <v>38</v>
      </c>
      <c r="F238" s="4" t="s">
        <v>36</v>
      </c>
      <c r="G238" s="5">
        <v>45163</v>
      </c>
      <c r="H238" s="4">
        <v>36</v>
      </c>
      <c r="I238" s="4">
        <v>96.37</v>
      </c>
      <c r="J238" s="6">
        <v>112.61</v>
      </c>
      <c r="K238">
        <f t="shared" si="12"/>
        <v>75</v>
      </c>
      <c r="L238">
        <f t="shared" si="13"/>
        <v>83</v>
      </c>
      <c r="M238" t="str">
        <f>IF(B238="",$Z$18,B238)</f>
        <v>South</v>
      </c>
      <c r="N238" t="str">
        <f>IF(D238="",$Z$19,D238)</f>
        <v>Beverages</v>
      </c>
      <c r="O238">
        <f>IF(H238="",$Y$24,H238)</f>
        <v>36</v>
      </c>
      <c r="P238">
        <f>IF(I238="",$Z$24,I238)</f>
        <v>96.37</v>
      </c>
      <c r="Q238">
        <f t="shared" si="14"/>
        <v>3469.32</v>
      </c>
      <c r="R238">
        <f t="shared" si="15"/>
        <v>-584.63999999999987</v>
      </c>
    </row>
    <row r="239" spans="1:18">
      <c r="A239" s="3" t="s">
        <v>284</v>
      </c>
      <c r="B239" s="4" t="s">
        <v>4</v>
      </c>
      <c r="C239" s="4" t="s">
        <v>31</v>
      </c>
      <c r="D239" s="4" t="s">
        <v>13</v>
      </c>
      <c r="E239" s="4" t="s">
        <v>38</v>
      </c>
      <c r="F239" s="4" t="s">
        <v>33</v>
      </c>
      <c r="G239" s="5">
        <v>45164</v>
      </c>
      <c r="H239" s="4">
        <v>183</v>
      </c>
      <c r="I239" s="4">
        <v>151.16</v>
      </c>
      <c r="J239" s="6">
        <v>79.19</v>
      </c>
      <c r="K239">
        <f t="shared" si="12"/>
        <v>75</v>
      </c>
      <c r="L239">
        <f t="shared" si="13"/>
        <v>69</v>
      </c>
      <c r="M239" t="str">
        <f>IF(B239="",$Z$18,B239)</f>
        <v>South</v>
      </c>
      <c r="N239" t="str">
        <f>IF(D239="",$Z$19,D239)</f>
        <v>Furniture</v>
      </c>
      <c r="O239">
        <f>IF(H239="",$Y$24,H239)</f>
        <v>183</v>
      </c>
      <c r="P239">
        <f>IF(I239="",$Z$24,I239)</f>
        <v>151.16</v>
      </c>
      <c r="Q239">
        <f t="shared" si="14"/>
        <v>27662.28</v>
      </c>
      <c r="R239">
        <f t="shared" si="15"/>
        <v>13170.509999999998</v>
      </c>
    </row>
    <row r="240" spans="1:18">
      <c r="A240" s="3" t="s">
        <v>285</v>
      </c>
      <c r="B240" s="4" t="s">
        <v>2</v>
      </c>
      <c r="C240" s="4" t="s">
        <v>40</v>
      </c>
      <c r="D240" s="4" t="s">
        <v>13</v>
      </c>
      <c r="E240" s="4" t="s">
        <v>38</v>
      </c>
      <c r="F240" s="4" t="s">
        <v>33</v>
      </c>
      <c r="G240" s="5">
        <v>45165</v>
      </c>
      <c r="H240" s="4">
        <v>59</v>
      </c>
      <c r="I240" s="4">
        <v>397.74</v>
      </c>
      <c r="J240" s="6">
        <v>352.17</v>
      </c>
      <c r="K240">
        <f t="shared" si="12"/>
        <v>91</v>
      </c>
      <c r="L240">
        <f t="shared" si="13"/>
        <v>69</v>
      </c>
      <c r="M240" t="str">
        <f>IF(B240="",$Z$18,B240)</f>
        <v>East</v>
      </c>
      <c r="N240" t="str">
        <f>IF(D240="",$Z$19,D240)</f>
        <v>Furniture</v>
      </c>
      <c r="O240">
        <f>IF(H240="",$Y$24,H240)</f>
        <v>59</v>
      </c>
      <c r="P240">
        <f>IF(I240="",$Z$24,I240)</f>
        <v>397.74</v>
      </c>
      <c r="Q240">
        <f t="shared" si="14"/>
        <v>23466.66</v>
      </c>
      <c r="R240">
        <f t="shared" si="15"/>
        <v>2688.6299999999974</v>
      </c>
    </row>
    <row r="241" spans="1:18">
      <c r="A241" s="3" t="s">
        <v>286</v>
      </c>
      <c r="B241" s="4" t="s">
        <v>5</v>
      </c>
      <c r="C241" s="4" t="s">
        <v>65</v>
      </c>
      <c r="D241" s="4" t="s">
        <v>10</v>
      </c>
      <c r="E241" s="4" t="s">
        <v>32</v>
      </c>
      <c r="F241" s="4" t="s">
        <v>41</v>
      </c>
      <c r="G241" s="5">
        <v>45166</v>
      </c>
      <c r="H241" s="4">
        <v>208</v>
      </c>
      <c r="I241" s="4">
        <v>96.69</v>
      </c>
      <c r="J241" s="6">
        <v>263.70999999999998</v>
      </c>
      <c r="K241">
        <f t="shared" si="12"/>
        <v>106</v>
      </c>
      <c r="L241">
        <f t="shared" si="13"/>
        <v>67</v>
      </c>
      <c r="M241" t="str">
        <f>IF(B241="",$Z$18,B241)</f>
        <v>West</v>
      </c>
      <c r="N241" t="str">
        <f>IF(D241="",$Z$19,D241)</f>
        <v>Clothing</v>
      </c>
      <c r="O241">
        <f>IF(H241="",$Y$24,H241)</f>
        <v>208</v>
      </c>
      <c r="P241">
        <f>IF(I241="",$Z$24,I241)</f>
        <v>96.69</v>
      </c>
      <c r="Q241">
        <f t="shared" si="14"/>
        <v>20111.52</v>
      </c>
      <c r="R241">
        <f t="shared" si="15"/>
        <v>-34740.159999999989</v>
      </c>
    </row>
    <row r="242" spans="1:18">
      <c r="A242" s="3" t="s">
        <v>287</v>
      </c>
      <c r="B242" s="4" t="s">
        <v>4</v>
      </c>
      <c r="C242" s="4" t="s">
        <v>46</v>
      </c>
      <c r="D242" s="4" t="s">
        <v>10</v>
      </c>
      <c r="E242" s="4" t="s">
        <v>32</v>
      </c>
      <c r="F242" s="4" t="s">
        <v>36</v>
      </c>
      <c r="G242" s="5">
        <v>45167</v>
      </c>
      <c r="H242" s="4">
        <v>396</v>
      </c>
      <c r="I242" s="4">
        <v>459.29</v>
      </c>
      <c r="J242" s="6">
        <v>125.75</v>
      </c>
      <c r="K242">
        <f t="shared" si="12"/>
        <v>75</v>
      </c>
      <c r="L242">
        <f t="shared" si="13"/>
        <v>67</v>
      </c>
      <c r="M242" t="str">
        <f>IF(B242="",$Z$18,B242)</f>
        <v>South</v>
      </c>
      <c r="N242" t="str">
        <f>IF(D242="",$Z$19,D242)</f>
        <v>Clothing</v>
      </c>
      <c r="O242">
        <f>IF(H242="",$Y$24,H242)</f>
        <v>396</v>
      </c>
      <c r="P242">
        <f>IF(I242="",$Z$24,I242)</f>
        <v>459.29</v>
      </c>
      <c r="Q242">
        <f t="shared" si="14"/>
        <v>181878.84</v>
      </c>
      <c r="R242">
        <f t="shared" si="15"/>
        <v>132081.84</v>
      </c>
    </row>
    <row r="243" spans="1:18">
      <c r="A243" s="3" t="s">
        <v>288</v>
      </c>
      <c r="B243" s="4" t="s">
        <v>2</v>
      </c>
      <c r="C243" s="4" t="s">
        <v>40</v>
      </c>
      <c r="D243" s="4" t="s">
        <v>11</v>
      </c>
      <c r="E243" s="4" t="s">
        <v>38</v>
      </c>
      <c r="F243" s="4" t="s">
        <v>36</v>
      </c>
      <c r="G243" s="5">
        <v>45168</v>
      </c>
      <c r="H243" s="4">
        <v>358</v>
      </c>
      <c r="I243" s="4">
        <v>215.14</v>
      </c>
      <c r="J243" s="6">
        <v>297.45</v>
      </c>
      <c r="K243">
        <f t="shared" si="12"/>
        <v>91</v>
      </c>
      <c r="L243">
        <f t="shared" si="13"/>
        <v>70</v>
      </c>
      <c r="M243" t="str">
        <f>IF(B243="",$Z$18,B243)</f>
        <v>East</v>
      </c>
      <c r="N243" t="str">
        <f>IF(D243="",$Z$19,D243)</f>
        <v>Electronics</v>
      </c>
      <c r="O243">
        <f>IF(H243="",$Y$24,H243)</f>
        <v>358</v>
      </c>
      <c r="P243">
        <f>IF(I243="",$Z$24,I243)</f>
        <v>215.14</v>
      </c>
      <c r="Q243">
        <f t="shared" si="14"/>
        <v>77020.12</v>
      </c>
      <c r="R243">
        <f t="shared" si="15"/>
        <v>-29466.979999999996</v>
      </c>
    </row>
    <row r="244" spans="1:18">
      <c r="A244" s="3" t="s">
        <v>289</v>
      </c>
      <c r="B244" s="4" t="s">
        <v>5</v>
      </c>
      <c r="C244" s="4" t="s">
        <v>46</v>
      </c>
      <c r="D244" s="4" t="s">
        <v>9</v>
      </c>
      <c r="E244" s="4" t="s">
        <v>32</v>
      </c>
      <c r="F244" s="4" t="s">
        <v>36</v>
      </c>
      <c r="G244" s="5">
        <v>45169</v>
      </c>
      <c r="H244" s="4">
        <v>457</v>
      </c>
      <c r="I244" s="4">
        <v>48.08</v>
      </c>
      <c r="J244" s="6">
        <v>326.42</v>
      </c>
      <c r="K244">
        <f t="shared" si="12"/>
        <v>106</v>
      </c>
      <c r="L244">
        <f t="shared" si="13"/>
        <v>83</v>
      </c>
      <c r="M244" t="str">
        <f>IF(B244="",$Z$18,B244)</f>
        <v>West</v>
      </c>
      <c r="N244" t="str">
        <f>IF(D244="",$Z$19,D244)</f>
        <v>Beverages</v>
      </c>
      <c r="O244">
        <f>IF(H244="",$Y$24,H244)</f>
        <v>457</v>
      </c>
      <c r="P244">
        <f>IF(I244="",$Z$24,I244)</f>
        <v>48.08</v>
      </c>
      <c r="Q244">
        <f t="shared" si="14"/>
        <v>21972.559999999998</v>
      </c>
      <c r="R244">
        <f t="shared" si="15"/>
        <v>-127201.38</v>
      </c>
    </row>
    <row r="245" spans="1:18">
      <c r="A245" s="3" t="s">
        <v>290</v>
      </c>
      <c r="B245" s="4" t="s">
        <v>3</v>
      </c>
      <c r="C245" s="4" t="s">
        <v>35</v>
      </c>
      <c r="D245" s="4" t="s">
        <v>12</v>
      </c>
      <c r="E245" s="4" t="s">
        <v>32</v>
      </c>
      <c r="F245" s="4" t="s">
        <v>41</v>
      </c>
      <c r="G245" s="5">
        <v>45170</v>
      </c>
      <c r="H245" s="4">
        <v>437</v>
      </c>
      <c r="I245" s="4">
        <v>408.8</v>
      </c>
      <c r="J245" s="6">
        <v>246.76</v>
      </c>
      <c r="K245">
        <f t="shared" si="12"/>
        <v>78</v>
      </c>
      <c r="L245">
        <f t="shared" si="13"/>
        <v>61</v>
      </c>
      <c r="M245" t="str">
        <f>IF(B245="",$Z$18,B245)</f>
        <v>North</v>
      </c>
      <c r="N245" t="str">
        <f>IF(D245="",$Z$19,D245)</f>
        <v>Food</v>
      </c>
      <c r="O245">
        <f>IF(H245="",$Y$24,H245)</f>
        <v>437</v>
      </c>
      <c r="P245">
        <f>IF(I245="",$Z$24,I245)</f>
        <v>408.8</v>
      </c>
      <c r="Q245">
        <f t="shared" si="14"/>
        <v>178645.6</v>
      </c>
      <c r="R245">
        <f t="shared" si="15"/>
        <v>70811.48000000001</v>
      </c>
    </row>
    <row r="246" spans="1:18">
      <c r="A246" s="3" t="s">
        <v>291</v>
      </c>
      <c r="B246" s="4" t="s">
        <v>2</v>
      </c>
      <c r="C246" s="4" t="s">
        <v>40</v>
      </c>
      <c r="D246" s="4" t="s">
        <v>13</v>
      </c>
      <c r="E246" s="4" t="s">
        <v>32</v>
      </c>
      <c r="F246" s="4" t="s">
        <v>33</v>
      </c>
      <c r="G246" s="5">
        <v>45171</v>
      </c>
      <c r="H246" s="4">
        <v>190</v>
      </c>
      <c r="I246" s="4">
        <v>189.89</v>
      </c>
      <c r="J246" s="6">
        <v>275.77999999999997</v>
      </c>
      <c r="K246">
        <f t="shared" si="12"/>
        <v>91</v>
      </c>
      <c r="L246">
        <f t="shared" si="13"/>
        <v>69</v>
      </c>
      <c r="M246" t="str">
        <f>IF(B246="",$Z$18,B246)</f>
        <v>East</v>
      </c>
      <c r="N246" t="str">
        <f>IF(D246="",$Z$19,D246)</f>
        <v>Furniture</v>
      </c>
      <c r="O246">
        <f>IF(H246="",$Y$24,H246)</f>
        <v>190</v>
      </c>
      <c r="P246">
        <f>IF(I246="",$Z$24,I246)</f>
        <v>189.89</v>
      </c>
      <c r="Q246">
        <f t="shared" si="14"/>
        <v>36079.1</v>
      </c>
      <c r="R246">
        <f t="shared" si="15"/>
        <v>-16319.099999999999</v>
      </c>
    </row>
    <row r="247" spans="1:18">
      <c r="A247" s="3" t="s">
        <v>292</v>
      </c>
      <c r="B247" s="4" t="s">
        <v>4</v>
      </c>
      <c r="C247" s="4" t="s">
        <v>65</v>
      </c>
      <c r="D247" s="4" t="s">
        <v>11</v>
      </c>
      <c r="E247" s="4" t="s">
        <v>38</v>
      </c>
      <c r="F247" s="4" t="s">
        <v>41</v>
      </c>
      <c r="G247" s="5">
        <v>45172</v>
      </c>
      <c r="H247" s="4">
        <v>33</v>
      </c>
      <c r="I247" s="4">
        <v>265.62</v>
      </c>
      <c r="J247" s="6">
        <v>151.35</v>
      </c>
      <c r="K247">
        <f t="shared" si="12"/>
        <v>75</v>
      </c>
      <c r="L247">
        <f t="shared" si="13"/>
        <v>70</v>
      </c>
      <c r="M247" t="str">
        <f>IF(B247="",$Z$18,B247)</f>
        <v>South</v>
      </c>
      <c r="N247" t="str">
        <f>IF(D247="",$Z$19,D247)</f>
        <v>Electronics</v>
      </c>
      <c r="O247">
        <f>IF(H247="",$Y$24,H247)</f>
        <v>33</v>
      </c>
      <c r="P247">
        <f>IF(I247="",$Z$24,I247)</f>
        <v>265.62</v>
      </c>
      <c r="Q247">
        <f t="shared" si="14"/>
        <v>8765.4600000000009</v>
      </c>
      <c r="R247">
        <f t="shared" si="15"/>
        <v>3770.9100000000008</v>
      </c>
    </row>
    <row r="248" spans="1:18">
      <c r="A248" s="3" t="s">
        <v>293</v>
      </c>
      <c r="B248" s="4" t="s">
        <v>3</v>
      </c>
      <c r="C248" s="4" t="s">
        <v>40</v>
      </c>
      <c r="D248" s="4" t="s">
        <v>11</v>
      </c>
      <c r="E248" s="4" t="s">
        <v>32</v>
      </c>
      <c r="F248" s="4" t="s">
        <v>33</v>
      </c>
      <c r="G248" s="5">
        <v>45173</v>
      </c>
      <c r="H248" s="4">
        <v>325</v>
      </c>
      <c r="I248" s="4">
        <v>60.59</v>
      </c>
      <c r="J248" s="6">
        <v>216.4</v>
      </c>
      <c r="K248">
        <f t="shared" si="12"/>
        <v>78</v>
      </c>
      <c r="L248">
        <f t="shared" si="13"/>
        <v>70</v>
      </c>
      <c r="M248" t="str">
        <f>IF(B248="",$Z$18,B248)</f>
        <v>North</v>
      </c>
      <c r="N248" t="str">
        <f>IF(D248="",$Z$19,D248)</f>
        <v>Electronics</v>
      </c>
      <c r="O248">
        <f>IF(H248="",$Y$24,H248)</f>
        <v>325</v>
      </c>
      <c r="P248">
        <f>IF(I248="",$Z$24,I248)</f>
        <v>60.59</v>
      </c>
      <c r="Q248">
        <f t="shared" si="14"/>
        <v>19691.75</v>
      </c>
      <c r="R248">
        <f t="shared" si="15"/>
        <v>-50638.25</v>
      </c>
    </row>
    <row r="249" spans="1:18">
      <c r="A249" s="3" t="s">
        <v>294</v>
      </c>
      <c r="B249" s="4" t="s">
        <v>3</v>
      </c>
      <c r="C249" s="4" t="s">
        <v>40</v>
      </c>
      <c r="D249" s="4" t="s">
        <v>13</v>
      </c>
      <c r="E249" s="4" t="s">
        <v>38</v>
      </c>
      <c r="F249" s="4" t="s">
        <v>33</v>
      </c>
      <c r="G249" s="5">
        <v>45174</v>
      </c>
      <c r="H249" s="4">
        <v>387</v>
      </c>
      <c r="I249" s="4">
        <v>6.28</v>
      </c>
      <c r="J249" s="6">
        <v>210.62</v>
      </c>
      <c r="K249">
        <f t="shared" si="12"/>
        <v>78</v>
      </c>
      <c r="L249">
        <f t="shared" si="13"/>
        <v>69</v>
      </c>
      <c r="M249" t="str">
        <f>IF(B249="",$Z$18,B249)</f>
        <v>North</v>
      </c>
      <c r="N249" t="str">
        <f>IF(D249="",$Z$19,D249)</f>
        <v>Furniture</v>
      </c>
      <c r="O249">
        <f>IF(H249="",$Y$24,H249)</f>
        <v>387</v>
      </c>
      <c r="P249">
        <f>IF(I249="",$Z$24,I249)</f>
        <v>6.28</v>
      </c>
      <c r="Q249">
        <f t="shared" si="14"/>
        <v>2430.36</v>
      </c>
      <c r="R249">
        <f t="shared" si="15"/>
        <v>-79079.58</v>
      </c>
    </row>
    <row r="250" spans="1:18">
      <c r="A250" s="3" t="s">
        <v>295</v>
      </c>
      <c r="B250" s="4" t="s">
        <v>3</v>
      </c>
      <c r="C250" s="4" t="s">
        <v>40</v>
      </c>
      <c r="D250" s="4" t="s">
        <v>12</v>
      </c>
      <c r="E250" s="4" t="s">
        <v>32</v>
      </c>
      <c r="F250" s="4" t="s">
        <v>41</v>
      </c>
      <c r="G250" s="5">
        <v>45175</v>
      </c>
      <c r="H250" s="4">
        <v>396</v>
      </c>
      <c r="I250" s="4">
        <v>320.8</v>
      </c>
      <c r="J250" s="6">
        <v>339.52</v>
      </c>
      <c r="K250">
        <f t="shared" si="12"/>
        <v>78</v>
      </c>
      <c r="L250">
        <f t="shared" si="13"/>
        <v>61</v>
      </c>
      <c r="M250" t="str">
        <f>IF(B250="",$Z$18,B250)</f>
        <v>North</v>
      </c>
      <c r="N250" t="str">
        <f>IF(D250="",$Z$19,D250)</f>
        <v>Food</v>
      </c>
      <c r="O250">
        <f>IF(H250="",$Y$24,H250)</f>
        <v>396</v>
      </c>
      <c r="P250">
        <f>IF(I250="",$Z$24,I250)</f>
        <v>320.8</v>
      </c>
      <c r="Q250">
        <f t="shared" si="14"/>
        <v>127036.8</v>
      </c>
      <c r="R250">
        <f t="shared" si="15"/>
        <v>-7413.1199999999808</v>
      </c>
    </row>
    <row r="251" spans="1:18">
      <c r="A251" s="3" t="s">
        <v>296</v>
      </c>
      <c r="B251" s="4" t="s">
        <v>2</v>
      </c>
      <c r="C251" s="4" t="s">
        <v>40</v>
      </c>
      <c r="D251" s="4" t="s">
        <v>11</v>
      </c>
      <c r="E251" s="4" t="s">
        <v>32</v>
      </c>
      <c r="F251" s="4" t="s">
        <v>33</v>
      </c>
      <c r="G251" s="5">
        <v>45176</v>
      </c>
      <c r="H251" s="4">
        <v>413</v>
      </c>
      <c r="I251" s="4">
        <v>260.01</v>
      </c>
      <c r="J251" s="6">
        <v>336.31</v>
      </c>
      <c r="K251">
        <f t="shared" si="12"/>
        <v>91</v>
      </c>
      <c r="L251">
        <f t="shared" si="13"/>
        <v>70</v>
      </c>
      <c r="M251" t="str">
        <f>IF(B251="",$Z$18,B251)</f>
        <v>East</v>
      </c>
      <c r="N251" t="str">
        <f>IF(D251="",$Z$19,D251)</f>
        <v>Electronics</v>
      </c>
      <c r="O251">
        <f>IF(H251="",$Y$24,H251)</f>
        <v>413</v>
      </c>
      <c r="P251">
        <f>IF(I251="",$Z$24,I251)</f>
        <v>260.01</v>
      </c>
      <c r="Q251">
        <f t="shared" si="14"/>
        <v>107384.12999999999</v>
      </c>
      <c r="R251">
        <f t="shared" si="15"/>
        <v>-31511.900000000009</v>
      </c>
    </row>
    <row r="252" spans="1:18">
      <c r="A252" s="3" t="s">
        <v>297</v>
      </c>
      <c r="B252" s="4" t="s">
        <v>4</v>
      </c>
      <c r="C252" s="4" t="s">
        <v>46</v>
      </c>
      <c r="D252" s="4" t="s">
        <v>11</v>
      </c>
      <c r="E252" s="4" t="s">
        <v>32</v>
      </c>
      <c r="F252" s="4" t="s">
        <v>33</v>
      </c>
      <c r="G252" s="5">
        <v>45177</v>
      </c>
      <c r="H252" s="4">
        <v>255.90294117647059</v>
      </c>
      <c r="I252" s="4">
        <v>298.8</v>
      </c>
      <c r="J252" s="6">
        <v>333.41</v>
      </c>
      <c r="K252">
        <f t="shared" si="12"/>
        <v>75</v>
      </c>
      <c r="L252">
        <f t="shared" si="13"/>
        <v>70</v>
      </c>
      <c r="M252" t="str">
        <f>IF(B252="",$Z$18,B252)</f>
        <v>South</v>
      </c>
      <c r="N252" t="str">
        <f>IF(D252="",$Z$19,D252)</f>
        <v>Electronics</v>
      </c>
      <c r="O252">
        <f>IF(H252="",$Y$24,H252)</f>
        <v>255.90294117647059</v>
      </c>
      <c r="P252">
        <f>IF(I252="",$Z$24,I252)</f>
        <v>298.8</v>
      </c>
      <c r="Q252">
        <f t="shared" si="14"/>
        <v>76463.798823529418</v>
      </c>
      <c r="R252">
        <f t="shared" si="15"/>
        <v>-8856.8007941176475</v>
      </c>
    </row>
    <row r="253" spans="1:18">
      <c r="A253" s="3" t="s">
        <v>298</v>
      </c>
      <c r="B253" s="4" t="s">
        <v>3</v>
      </c>
      <c r="C253" s="4" t="s">
        <v>35</v>
      </c>
      <c r="D253" s="4" t="s">
        <v>9</v>
      </c>
      <c r="E253" s="4" t="s">
        <v>38</v>
      </c>
      <c r="F253" s="4" t="s">
        <v>36</v>
      </c>
      <c r="G253" s="5">
        <v>45178</v>
      </c>
      <c r="H253" s="4">
        <v>24</v>
      </c>
      <c r="I253" s="4">
        <v>397.9</v>
      </c>
      <c r="J253" s="6">
        <v>6.39</v>
      </c>
      <c r="K253">
        <f t="shared" si="12"/>
        <v>78</v>
      </c>
      <c r="L253">
        <f t="shared" si="13"/>
        <v>83</v>
      </c>
      <c r="M253" t="str">
        <f>IF(B253="",$Z$18,B253)</f>
        <v>North</v>
      </c>
      <c r="N253" t="str">
        <f>IF(D253="",$Z$19,D253)</f>
        <v>Beverages</v>
      </c>
      <c r="O253">
        <f>IF(H253="",$Y$24,H253)</f>
        <v>24</v>
      </c>
      <c r="P253">
        <f>IF(I253="",$Z$24,I253)</f>
        <v>397.9</v>
      </c>
      <c r="Q253">
        <f t="shared" si="14"/>
        <v>9549.5999999999985</v>
      </c>
      <c r="R253">
        <f t="shared" si="15"/>
        <v>9396.239999999998</v>
      </c>
    </row>
    <row r="254" spans="1:18">
      <c r="A254" s="3" t="s">
        <v>299</v>
      </c>
      <c r="B254" s="4" t="s">
        <v>5</v>
      </c>
      <c r="C254" s="4" t="s">
        <v>31</v>
      </c>
      <c r="D254" s="4" t="s">
        <v>9</v>
      </c>
      <c r="E254" s="4" t="s">
        <v>32</v>
      </c>
      <c r="F254" s="4" t="s">
        <v>33</v>
      </c>
      <c r="G254" s="5">
        <v>45179</v>
      </c>
      <c r="H254" s="4">
        <v>162</v>
      </c>
      <c r="I254" s="4">
        <v>325.07</v>
      </c>
      <c r="J254" s="6">
        <v>300.32</v>
      </c>
      <c r="K254">
        <f t="shared" si="12"/>
        <v>106</v>
      </c>
      <c r="L254">
        <f t="shared" si="13"/>
        <v>83</v>
      </c>
      <c r="M254" t="str">
        <f>IF(B254="",$Z$18,B254)</f>
        <v>West</v>
      </c>
      <c r="N254" t="str">
        <f>IF(D254="",$Z$19,D254)</f>
        <v>Beverages</v>
      </c>
      <c r="O254">
        <f>IF(H254="",$Y$24,H254)</f>
        <v>162</v>
      </c>
      <c r="P254">
        <f>IF(I254="",$Z$24,I254)</f>
        <v>325.07</v>
      </c>
      <c r="Q254">
        <f t="shared" si="14"/>
        <v>52661.34</v>
      </c>
      <c r="R254">
        <f t="shared" si="15"/>
        <v>4009.5</v>
      </c>
    </row>
    <row r="255" spans="1:18">
      <c r="A255" s="3" t="s">
        <v>300</v>
      </c>
      <c r="B255" s="4" t="s">
        <v>3</v>
      </c>
      <c r="C255" s="4" t="s">
        <v>40</v>
      </c>
      <c r="D255" s="4" t="s">
        <v>11</v>
      </c>
      <c r="E255" s="4" t="s">
        <v>38</v>
      </c>
      <c r="F255" s="4" t="s">
        <v>41</v>
      </c>
      <c r="G255" s="5">
        <v>45180</v>
      </c>
      <c r="H255" s="4">
        <v>231</v>
      </c>
      <c r="I255" s="4">
        <v>91.51</v>
      </c>
      <c r="J255" s="6">
        <v>303.95</v>
      </c>
      <c r="K255">
        <f t="shared" si="12"/>
        <v>78</v>
      </c>
      <c r="L255">
        <f t="shared" si="13"/>
        <v>70</v>
      </c>
      <c r="M255" t="str">
        <f>IF(B255="",$Z$18,B255)</f>
        <v>North</v>
      </c>
      <c r="N255" t="str">
        <f>IF(D255="",$Z$19,D255)</f>
        <v>Electronics</v>
      </c>
      <c r="O255">
        <f>IF(H255="",$Y$24,H255)</f>
        <v>231</v>
      </c>
      <c r="P255">
        <f>IF(I255="",$Z$24,I255)</f>
        <v>91.51</v>
      </c>
      <c r="Q255">
        <f t="shared" si="14"/>
        <v>21138.81</v>
      </c>
      <c r="R255">
        <f t="shared" si="15"/>
        <v>-49073.64</v>
      </c>
    </row>
    <row r="256" spans="1:18">
      <c r="A256" s="3" t="s">
        <v>301</v>
      </c>
      <c r="B256" s="4" t="s">
        <v>3</v>
      </c>
      <c r="C256" s="4" t="s">
        <v>65</v>
      </c>
      <c r="D256" s="4" t="s">
        <v>12</v>
      </c>
      <c r="E256" s="4" t="s">
        <v>38</v>
      </c>
      <c r="F256" s="4" t="s">
        <v>41</v>
      </c>
      <c r="G256" s="5">
        <v>45181</v>
      </c>
      <c r="H256" s="4">
        <v>215</v>
      </c>
      <c r="I256" s="4">
        <v>183.58</v>
      </c>
      <c r="J256" s="6">
        <v>271.99</v>
      </c>
      <c r="K256">
        <f t="shared" si="12"/>
        <v>78</v>
      </c>
      <c r="L256">
        <f t="shared" si="13"/>
        <v>61</v>
      </c>
      <c r="M256" t="str">
        <f>IF(B256="",$Z$18,B256)</f>
        <v>North</v>
      </c>
      <c r="N256" t="str">
        <f>IF(D256="",$Z$19,D256)</f>
        <v>Food</v>
      </c>
      <c r="O256">
        <f>IF(H256="",$Y$24,H256)</f>
        <v>215</v>
      </c>
      <c r="P256">
        <f>IF(I256="",$Z$24,I256)</f>
        <v>183.58</v>
      </c>
      <c r="Q256">
        <f t="shared" si="14"/>
        <v>39469.700000000004</v>
      </c>
      <c r="R256">
        <f t="shared" si="15"/>
        <v>-19008.149999999994</v>
      </c>
    </row>
    <row r="257" spans="1:18">
      <c r="A257" s="3" t="s">
        <v>302</v>
      </c>
      <c r="B257" s="4" t="s">
        <v>2</v>
      </c>
      <c r="C257" s="4" t="s">
        <v>40</v>
      </c>
      <c r="D257" s="4" t="s">
        <v>13</v>
      </c>
      <c r="E257" s="4" t="s">
        <v>38</v>
      </c>
      <c r="F257" s="4" t="s">
        <v>33</v>
      </c>
      <c r="G257" s="5">
        <v>45182</v>
      </c>
      <c r="H257" s="4">
        <v>464</v>
      </c>
      <c r="I257" s="4">
        <v>453.42</v>
      </c>
      <c r="J257" s="6">
        <v>302.99</v>
      </c>
      <c r="K257">
        <f t="shared" si="12"/>
        <v>91</v>
      </c>
      <c r="L257">
        <f t="shared" si="13"/>
        <v>69</v>
      </c>
      <c r="M257" t="str">
        <f>IF(B257="",$Z$18,B257)</f>
        <v>East</v>
      </c>
      <c r="N257" t="str">
        <f>IF(D257="",$Z$19,D257)</f>
        <v>Furniture</v>
      </c>
      <c r="O257">
        <f>IF(H257="",$Y$24,H257)</f>
        <v>464</v>
      </c>
      <c r="P257">
        <f>IF(I257="",$Z$24,I257)</f>
        <v>453.42</v>
      </c>
      <c r="Q257">
        <f t="shared" si="14"/>
        <v>210386.88</v>
      </c>
      <c r="R257">
        <f t="shared" si="15"/>
        <v>69799.51999999999</v>
      </c>
    </row>
    <row r="258" spans="1:18">
      <c r="A258" s="3" t="s">
        <v>303</v>
      </c>
      <c r="B258" s="4" t="s">
        <v>2</v>
      </c>
      <c r="C258" s="4" t="s">
        <v>65</v>
      </c>
      <c r="D258" s="4" t="s">
        <v>10</v>
      </c>
      <c r="E258" s="4" t="s">
        <v>32</v>
      </c>
      <c r="F258" s="4" t="s">
        <v>36</v>
      </c>
      <c r="G258" s="5">
        <v>45183</v>
      </c>
      <c r="H258" s="4">
        <v>282</v>
      </c>
      <c r="I258" s="4">
        <v>249.64520588235297</v>
      </c>
      <c r="J258" s="6">
        <v>337.1</v>
      </c>
      <c r="K258">
        <f t="shared" si="12"/>
        <v>91</v>
      </c>
      <c r="L258">
        <f t="shared" si="13"/>
        <v>67</v>
      </c>
      <c r="M258" t="str">
        <f>IF(B258="",$Z$18,B258)</f>
        <v>East</v>
      </c>
      <c r="N258" t="str">
        <f>IF(D258="",$Z$19,D258)</f>
        <v>Clothing</v>
      </c>
      <c r="O258">
        <f>IF(H258="",$Y$24,H258)</f>
        <v>282</v>
      </c>
      <c r="P258">
        <f>IF(I258="",$Z$24,I258)</f>
        <v>249.64520588235297</v>
      </c>
      <c r="Q258">
        <f t="shared" si="14"/>
        <v>70399.948058823531</v>
      </c>
      <c r="R258">
        <f t="shared" si="15"/>
        <v>-24662.251941176481</v>
      </c>
    </row>
    <row r="259" spans="1:18">
      <c r="A259" s="3" t="s">
        <v>304</v>
      </c>
      <c r="B259" s="4" t="s">
        <v>4</v>
      </c>
      <c r="C259" s="4" t="s">
        <v>46</v>
      </c>
      <c r="D259" s="4" t="s">
        <v>11</v>
      </c>
      <c r="E259" s="4" t="s">
        <v>32</v>
      </c>
      <c r="F259" s="4" t="s">
        <v>36</v>
      </c>
      <c r="G259" s="5">
        <v>45184</v>
      </c>
      <c r="H259" s="4">
        <v>391</v>
      </c>
      <c r="I259" s="4">
        <v>280.54000000000002</v>
      </c>
      <c r="J259" s="6">
        <v>189.19</v>
      </c>
      <c r="K259">
        <f t="shared" ref="K259:K322" si="16">IF(B259="",0,COUNTIF($B$2:$B$351,B259))</f>
        <v>75</v>
      </c>
      <c r="L259">
        <f t="shared" ref="L259:L322" si="17">IF(D259="",0,COUNTIF($D$2:$D$351,D259))</f>
        <v>70</v>
      </c>
      <c r="M259" t="str">
        <f>IF(B259="",$Z$18,B259)</f>
        <v>South</v>
      </c>
      <c r="N259" t="str">
        <f>IF(D259="",$Z$19,D259)</f>
        <v>Electronics</v>
      </c>
      <c r="O259">
        <f>IF(H259="",$Y$24,H259)</f>
        <v>391</v>
      </c>
      <c r="P259">
        <f>IF(I259="",$Z$24,I259)</f>
        <v>280.54000000000002</v>
      </c>
      <c r="Q259">
        <f t="shared" ref="Q259:Q322" si="18">H259*I259</f>
        <v>109691.14000000001</v>
      </c>
      <c r="R259">
        <f t="shared" ref="R259:R322" si="19">Q259-(H259*J259)</f>
        <v>35717.85000000002</v>
      </c>
    </row>
    <row r="260" spans="1:18">
      <c r="A260" s="3" t="s">
        <v>305</v>
      </c>
      <c r="B260" s="4" t="s">
        <v>5</v>
      </c>
      <c r="C260" s="4" t="s">
        <v>65</v>
      </c>
      <c r="D260" s="4" t="s">
        <v>9</v>
      </c>
      <c r="E260" s="4" t="s">
        <v>32</v>
      </c>
      <c r="F260" s="4" t="s">
        <v>33</v>
      </c>
      <c r="G260" s="5">
        <v>45185</v>
      </c>
      <c r="H260" s="4">
        <v>245</v>
      </c>
      <c r="I260" s="4">
        <v>131.54</v>
      </c>
      <c r="J260" s="6">
        <v>201.82</v>
      </c>
      <c r="K260">
        <f t="shared" si="16"/>
        <v>106</v>
      </c>
      <c r="L260">
        <f t="shared" si="17"/>
        <v>83</v>
      </c>
      <c r="M260" t="str">
        <f>IF(B260="",$Z$18,B260)</f>
        <v>West</v>
      </c>
      <c r="N260" t="str">
        <f>IF(D260="",$Z$19,D260)</f>
        <v>Beverages</v>
      </c>
      <c r="O260">
        <f>IF(H260="",$Y$24,H260)</f>
        <v>245</v>
      </c>
      <c r="P260">
        <f>IF(I260="",$Z$24,I260)</f>
        <v>131.54</v>
      </c>
      <c r="Q260">
        <f t="shared" si="18"/>
        <v>32227.3</v>
      </c>
      <c r="R260">
        <f t="shared" si="19"/>
        <v>-17218.600000000002</v>
      </c>
    </row>
    <row r="261" spans="1:18">
      <c r="A261" s="3" t="s">
        <v>306</v>
      </c>
      <c r="B261" s="4" t="s">
        <v>2</v>
      </c>
      <c r="C261" s="4" t="s">
        <v>31</v>
      </c>
      <c r="D261" s="4" t="s">
        <v>13</v>
      </c>
      <c r="E261" s="4" t="s">
        <v>32</v>
      </c>
      <c r="F261" s="4" t="s">
        <v>33</v>
      </c>
      <c r="G261" s="5">
        <v>45186</v>
      </c>
      <c r="H261" s="4">
        <v>349</v>
      </c>
      <c r="I261" s="4">
        <v>154.52000000000001</v>
      </c>
      <c r="J261" s="6">
        <v>51.64</v>
      </c>
      <c r="K261">
        <f t="shared" si="16"/>
        <v>91</v>
      </c>
      <c r="L261">
        <f t="shared" si="17"/>
        <v>69</v>
      </c>
      <c r="M261" t="str">
        <f>IF(B261="",$Z$18,B261)</f>
        <v>East</v>
      </c>
      <c r="N261" t="str">
        <f>IF(D261="",$Z$19,D261)</f>
        <v>Furniture</v>
      </c>
      <c r="O261">
        <f>IF(H261="",$Y$24,H261)</f>
        <v>349</v>
      </c>
      <c r="P261">
        <f>IF(I261="",$Z$24,I261)</f>
        <v>154.52000000000001</v>
      </c>
      <c r="Q261">
        <f t="shared" si="18"/>
        <v>53927.48</v>
      </c>
      <c r="R261">
        <f t="shared" si="19"/>
        <v>35905.120000000003</v>
      </c>
    </row>
    <row r="262" spans="1:18">
      <c r="A262" s="3" t="s">
        <v>307</v>
      </c>
      <c r="B262" s="4" t="s">
        <v>3</v>
      </c>
      <c r="C262" s="4" t="s">
        <v>35</v>
      </c>
      <c r="D262" s="4" t="s">
        <v>12</v>
      </c>
      <c r="E262" s="4" t="s">
        <v>38</v>
      </c>
      <c r="F262" s="4" t="s">
        <v>41</v>
      </c>
      <c r="G262" s="5">
        <v>45187</v>
      </c>
      <c r="H262" s="4">
        <v>237</v>
      </c>
      <c r="I262" s="4">
        <v>249.64520588235297</v>
      </c>
      <c r="J262" s="6">
        <v>155.38</v>
      </c>
      <c r="K262">
        <f t="shared" si="16"/>
        <v>78</v>
      </c>
      <c r="L262">
        <f t="shared" si="17"/>
        <v>61</v>
      </c>
      <c r="M262" t="str">
        <f>IF(B262="",$Z$18,B262)</f>
        <v>North</v>
      </c>
      <c r="N262" t="str">
        <f>IF(D262="",$Z$19,D262)</f>
        <v>Food</v>
      </c>
      <c r="O262">
        <f>IF(H262="",$Y$24,H262)</f>
        <v>237</v>
      </c>
      <c r="P262">
        <f>IF(I262="",$Z$24,I262)</f>
        <v>249.64520588235297</v>
      </c>
      <c r="Q262">
        <f t="shared" si="18"/>
        <v>59165.913794117652</v>
      </c>
      <c r="R262">
        <f t="shared" si="19"/>
        <v>22340.853794117655</v>
      </c>
    </row>
    <row r="263" spans="1:18">
      <c r="A263" s="3" t="s">
        <v>308</v>
      </c>
      <c r="B263" s="4" t="s">
        <v>4</v>
      </c>
      <c r="C263" s="4" t="s">
        <v>65</v>
      </c>
      <c r="D263" s="4" t="s">
        <v>13</v>
      </c>
      <c r="E263" s="4" t="s">
        <v>38</v>
      </c>
      <c r="F263" s="4" t="s">
        <v>33</v>
      </c>
      <c r="G263" s="5">
        <v>45188</v>
      </c>
      <c r="H263" s="4">
        <v>18</v>
      </c>
      <c r="I263" s="4">
        <v>426.33</v>
      </c>
      <c r="J263" s="6">
        <v>258.06</v>
      </c>
      <c r="K263">
        <f t="shared" si="16"/>
        <v>75</v>
      </c>
      <c r="L263">
        <f t="shared" si="17"/>
        <v>69</v>
      </c>
      <c r="M263" t="str">
        <f>IF(B263="",$Z$18,B263)</f>
        <v>South</v>
      </c>
      <c r="N263" t="str">
        <f>IF(D263="",$Z$19,D263)</f>
        <v>Furniture</v>
      </c>
      <c r="O263">
        <f>IF(H263="",$Y$24,H263)</f>
        <v>18</v>
      </c>
      <c r="P263">
        <f>IF(I263="",$Z$24,I263)</f>
        <v>426.33</v>
      </c>
      <c r="Q263">
        <f t="shared" si="18"/>
        <v>7673.94</v>
      </c>
      <c r="R263">
        <f t="shared" si="19"/>
        <v>3028.8599999999997</v>
      </c>
    </row>
    <row r="264" spans="1:18">
      <c r="A264" s="3" t="s">
        <v>309</v>
      </c>
      <c r="B264" s="4" t="s">
        <v>3</v>
      </c>
      <c r="C264" s="4" t="s">
        <v>65</v>
      </c>
      <c r="D264" s="4" t="s">
        <v>11</v>
      </c>
      <c r="E264" s="4" t="s">
        <v>38</v>
      </c>
      <c r="F264" s="4" t="s">
        <v>36</v>
      </c>
      <c r="G264" s="5">
        <v>45189</v>
      </c>
      <c r="H264" s="4">
        <v>175</v>
      </c>
      <c r="I264" s="4">
        <v>337.36</v>
      </c>
      <c r="J264" s="6">
        <v>312.60000000000002</v>
      </c>
      <c r="K264">
        <f t="shared" si="16"/>
        <v>78</v>
      </c>
      <c r="L264">
        <f t="shared" si="17"/>
        <v>70</v>
      </c>
      <c r="M264" t="str">
        <f>IF(B264="",$Z$18,B264)</f>
        <v>North</v>
      </c>
      <c r="N264" t="str">
        <f>IF(D264="",$Z$19,D264)</f>
        <v>Electronics</v>
      </c>
      <c r="O264">
        <f>IF(H264="",$Y$24,H264)</f>
        <v>175</v>
      </c>
      <c r="P264">
        <f>IF(I264="",$Z$24,I264)</f>
        <v>337.36</v>
      </c>
      <c r="Q264">
        <f t="shared" si="18"/>
        <v>59038</v>
      </c>
      <c r="R264">
        <f t="shared" si="19"/>
        <v>4332.9999999999927</v>
      </c>
    </row>
    <row r="265" spans="1:18">
      <c r="A265" s="3" t="s">
        <v>310</v>
      </c>
      <c r="B265" s="4" t="s">
        <v>3</v>
      </c>
      <c r="C265" s="4" t="s">
        <v>35</v>
      </c>
      <c r="D265" s="4" t="s">
        <v>9</v>
      </c>
      <c r="E265" s="4" t="s">
        <v>32</v>
      </c>
      <c r="F265" s="4" t="s">
        <v>33</v>
      </c>
      <c r="G265" s="5">
        <v>45190</v>
      </c>
      <c r="H265" s="4">
        <v>441</v>
      </c>
      <c r="I265" s="4">
        <v>405.72</v>
      </c>
      <c r="J265" s="6">
        <v>88.45</v>
      </c>
      <c r="K265">
        <f t="shared" si="16"/>
        <v>78</v>
      </c>
      <c r="L265">
        <f t="shared" si="17"/>
        <v>83</v>
      </c>
      <c r="M265" t="str">
        <f>IF(B265="",$Z$18,B265)</f>
        <v>North</v>
      </c>
      <c r="N265" t="str">
        <f>IF(D265="",$Z$19,D265)</f>
        <v>Beverages</v>
      </c>
      <c r="O265">
        <f>IF(H265="",$Y$24,H265)</f>
        <v>441</v>
      </c>
      <c r="P265">
        <f>IF(I265="",$Z$24,I265)</f>
        <v>405.72</v>
      </c>
      <c r="Q265">
        <f t="shared" si="18"/>
        <v>178922.52000000002</v>
      </c>
      <c r="R265">
        <f t="shared" si="19"/>
        <v>139916.07</v>
      </c>
    </row>
    <row r="266" spans="1:18">
      <c r="A266" s="3" t="s">
        <v>311</v>
      </c>
      <c r="B266" s="4" t="s">
        <v>2</v>
      </c>
      <c r="C266" s="4" t="s">
        <v>31</v>
      </c>
      <c r="D266" s="4" t="s">
        <v>10</v>
      </c>
      <c r="E266" s="4" t="s">
        <v>38</v>
      </c>
      <c r="F266" s="4" t="s">
        <v>41</v>
      </c>
      <c r="G266" s="5">
        <v>45191</v>
      </c>
      <c r="H266" s="4">
        <v>453</v>
      </c>
      <c r="I266" s="4">
        <v>384.49</v>
      </c>
      <c r="J266" s="6">
        <v>56.85</v>
      </c>
      <c r="K266">
        <f t="shared" si="16"/>
        <v>91</v>
      </c>
      <c r="L266">
        <f t="shared" si="17"/>
        <v>67</v>
      </c>
      <c r="M266" t="str">
        <f>IF(B266="",$Z$18,B266)</f>
        <v>East</v>
      </c>
      <c r="N266" t="str">
        <f>IF(D266="",$Z$19,D266)</f>
        <v>Clothing</v>
      </c>
      <c r="O266">
        <f>IF(H266="",$Y$24,H266)</f>
        <v>453</v>
      </c>
      <c r="P266">
        <f>IF(I266="",$Z$24,I266)</f>
        <v>384.49</v>
      </c>
      <c r="Q266">
        <f t="shared" si="18"/>
        <v>174173.97</v>
      </c>
      <c r="R266">
        <f t="shared" si="19"/>
        <v>148420.92000000001</v>
      </c>
    </row>
    <row r="267" spans="1:18">
      <c r="A267" s="3" t="s">
        <v>312</v>
      </c>
      <c r="B267" s="4" t="s">
        <v>4</v>
      </c>
      <c r="C267" s="4" t="s">
        <v>40</v>
      </c>
      <c r="D267" s="4" t="s">
        <v>13</v>
      </c>
      <c r="E267" s="4" t="s">
        <v>32</v>
      </c>
      <c r="F267" s="4" t="s">
        <v>41</v>
      </c>
      <c r="G267" s="5">
        <v>45192</v>
      </c>
      <c r="H267" s="4">
        <v>328</v>
      </c>
      <c r="I267" s="4">
        <v>79.099999999999994</v>
      </c>
      <c r="J267" s="6">
        <v>265.89</v>
      </c>
      <c r="K267">
        <f t="shared" si="16"/>
        <v>75</v>
      </c>
      <c r="L267">
        <f t="shared" si="17"/>
        <v>69</v>
      </c>
      <c r="M267" t="str">
        <f>IF(B267="",$Z$18,B267)</f>
        <v>South</v>
      </c>
      <c r="N267" t="str">
        <f>IF(D267="",$Z$19,D267)</f>
        <v>Furniture</v>
      </c>
      <c r="O267">
        <f>IF(H267="",$Y$24,H267)</f>
        <v>328</v>
      </c>
      <c r="P267">
        <f>IF(I267="",$Z$24,I267)</f>
        <v>79.099999999999994</v>
      </c>
      <c r="Q267">
        <f t="shared" si="18"/>
        <v>25944.799999999999</v>
      </c>
      <c r="R267">
        <f t="shared" si="19"/>
        <v>-61267.119999999995</v>
      </c>
    </row>
    <row r="268" spans="1:18">
      <c r="A268" s="3" t="s">
        <v>313</v>
      </c>
      <c r="B268" s="4" t="s">
        <v>5</v>
      </c>
      <c r="C268" s="4" t="s">
        <v>65</v>
      </c>
      <c r="D268" s="4" t="s">
        <v>11</v>
      </c>
      <c r="E268" s="4" t="s">
        <v>38</v>
      </c>
      <c r="F268" s="4" t="s">
        <v>41</v>
      </c>
      <c r="G268" s="5">
        <v>45193</v>
      </c>
      <c r="H268" s="4">
        <v>223</v>
      </c>
      <c r="I268" s="4">
        <v>214.85</v>
      </c>
      <c r="J268" s="6">
        <v>2.75</v>
      </c>
      <c r="K268">
        <f t="shared" si="16"/>
        <v>106</v>
      </c>
      <c r="L268">
        <f t="shared" si="17"/>
        <v>70</v>
      </c>
      <c r="M268" t="str">
        <f>IF(B268="",$Z$18,B268)</f>
        <v>West</v>
      </c>
      <c r="N268" t="str">
        <f>IF(D268="",$Z$19,D268)</f>
        <v>Electronics</v>
      </c>
      <c r="O268">
        <f>IF(H268="",$Y$24,H268)</f>
        <v>223</v>
      </c>
      <c r="P268">
        <f>IF(I268="",$Z$24,I268)</f>
        <v>214.85</v>
      </c>
      <c r="Q268">
        <f t="shared" si="18"/>
        <v>47911.549999999996</v>
      </c>
      <c r="R268">
        <f t="shared" si="19"/>
        <v>47298.299999999996</v>
      </c>
    </row>
    <row r="269" spans="1:18">
      <c r="A269" s="3" t="s">
        <v>314</v>
      </c>
      <c r="B269" s="4" t="s">
        <v>5</v>
      </c>
      <c r="C269" s="4" t="s">
        <v>35</v>
      </c>
      <c r="D269" s="4" t="s">
        <v>9</v>
      </c>
      <c r="E269" s="4" t="s">
        <v>32</v>
      </c>
      <c r="F269" s="4" t="s">
        <v>41</v>
      </c>
      <c r="G269" s="5">
        <v>45194</v>
      </c>
      <c r="H269" s="4">
        <v>126</v>
      </c>
      <c r="I269" s="4">
        <v>80.73</v>
      </c>
      <c r="J269" s="6">
        <v>72.989999999999995</v>
      </c>
      <c r="K269">
        <f t="shared" si="16"/>
        <v>106</v>
      </c>
      <c r="L269">
        <f t="shared" si="17"/>
        <v>83</v>
      </c>
      <c r="M269" t="str">
        <f>IF(B269="",$Z$18,B269)</f>
        <v>West</v>
      </c>
      <c r="N269" t="str">
        <f>IF(D269="",$Z$19,D269)</f>
        <v>Beverages</v>
      </c>
      <c r="O269">
        <f>IF(H269="",$Y$24,H269)</f>
        <v>126</v>
      </c>
      <c r="P269">
        <f>IF(I269="",$Z$24,I269)</f>
        <v>80.73</v>
      </c>
      <c r="Q269">
        <f t="shared" si="18"/>
        <v>10171.980000000001</v>
      </c>
      <c r="R269">
        <f t="shared" si="19"/>
        <v>975.2400000000016</v>
      </c>
    </row>
    <row r="270" spans="1:18">
      <c r="A270" s="3" t="s">
        <v>315</v>
      </c>
      <c r="B270" s="4" t="s">
        <v>2</v>
      </c>
      <c r="C270" s="4" t="s">
        <v>46</v>
      </c>
      <c r="D270" s="4" t="s">
        <v>12</v>
      </c>
      <c r="E270" s="4" t="s">
        <v>32</v>
      </c>
      <c r="F270" s="4" t="s">
        <v>41</v>
      </c>
      <c r="G270" s="5">
        <v>45195</v>
      </c>
      <c r="H270" s="4">
        <v>395</v>
      </c>
      <c r="I270" s="4">
        <v>121.44</v>
      </c>
      <c r="J270" s="6">
        <v>13.57</v>
      </c>
      <c r="K270">
        <f t="shared" si="16"/>
        <v>91</v>
      </c>
      <c r="L270">
        <f t="shared" si="17"/>
        <v>61</v>
      </c>
      <c r="M270" t="str">
        <f>IF(B270="",$Z$18,B270)</f>
        <v>East</v>
      </c>
      <c r="N270" t="str">
        <f>IF(D270="",$Z$19,D270)</f>
        <v>Food</v>
      </c>
      <c r="O270">
        <f>IF(H270="",$Y$24,H270)</f>
        <v>395</v>
      </c>
      <c r="P270">
        <f>IF(I270="",$Z$24,I270)</f>
        <v>121.44</v>
      </c>
      <c r="Q270">
        <f t="shared" si="18"/>
        <v>47968.799999999996</v>
      </c>
      <c r="R270">
        <f t="shared" si="19"/>
        <v>42608.649999999994</v>
      </c>
    </row>
    <row r="271" spans="1:18">
      <c r="A271" s="3" t="s">
        <v>316</v>
      </c>
      <c r="B271" s="4" t="s">
        <v>2</v>
      </c>
      <c r="C271" s="4" t="s">
        <v>35</v>
      </c>
      <c r="D271" s="4" t="s">
        <v>13</v>
      </c>
      <c r="E271" s="4" t="s">
        <v>38</v>
      </c>
      <c r="F271" s="4" t="s">
        <v>33</v>
      </c>
      <c r="G271" s="5">
        <v>45196</v>
      </c>
      <c r="H271" s="4">
        <v>353</v>
      </c>
      <c r="I271" s="4">
        <v>435.28</v>
      </c>
      <c r="J271" s="6">
        <v>68.42</v>
      </c>
      <c r="K271">
        <f t="shared" si="16"/>
        <v>91</v>
      </c>
      <c r="L271">
        <f t="shared" si="17"/>
        <v>69</v>
      </c>
      <c r="M271" t="str">
        <f>IF(B271="",$Z$18,B271)</f>
        <v>East</v>
      </c>
      <c r="N271" t="str">
        <f>IF(D271="",$Z$19,D271)</f>
        <v>Furniture</v>
      </c>
      <c r="O271">
        <f>IF(H271="",$Y$24,H271)</f>
        <v>353</v>
      </c>
      <c r="P271">
        <f>IF(I271="",$Z$24,I271)</f>
        <v>435.28</v>
      </c>
      <c r="Q271">
        <f t="shared" si="18"/>
        <v>153653.84</v>
      </c>
      <c r="R271">
        <f t="shared" si="19"/>
        <v>129501.57999999999</v>
      </c>
    </row>
    <row r="272" spans="1:18">
      <c r="A272" s="3" t="s">
        <v>317</v>
      </c>
      <c r="B272" s="4" t="s">
        <v>4</v>
      </c>
      <c r="C272" s="4" t="s">
        <v>46</v>
      </c>
      <c r="D272" s="4" t="s">
        <v>13</v>
      </c>
      <c r="E272" s="4" t="s">
        <v>38</v>
      </c>
      <c r="F272" s="4" t="s">
        <v>33</v>
      </c>
      <c r="G272" s="5">
        <v>45197</v>
      </c>
      <c r="H272" s="4">
        <v>81</v>
      </c>
      <c r="I272" s="4">
        <v>239.08</v>
      </c>
      <c r="J272" s="6">
        <v>74.17</v>
      </c>
      <c r="K272">
        <f t="shared" si="16"/>
        <v>75</v>
      </c>
      <c r="L272">
        <f t="shared" si="17"/>
        <v>69</v>
      </c>
      <c r="M272" t="str">
        <f>IF(B272="",$Z$18,B272)</f>
        <v>South</v>
      </c>
      <c r="N272" t="str">
        <f>IF(D272="",$Z$19,D272)</f>
        <v>Furniture</v>
      </c>
      <c r="O272">
        <f>IF(H272="",$Y$24,H272)</f>
        <v>81</v>
      </c>
      <c r="P272">
        <f>IF(I272="",$Z$24,I272)</f>
        <v>239.08</v>
      </c>
      <c r="Q272">
        <f t="shared" si="18"/>
        <v>19365.48</v>
      </c>
      <c r="R272">
        <f t="shared" si="19"/>
        <v>13357.71</v>
      </c>
    </row>
    <row r="273" spans="1:18">
      <c r="A273" s="3" t="s">
        <v>318</v>
      </c>
      <c r="B273" s="4" t="s">
        <v>5</v>
      </c>
      <c r="C273" s="4" t="s">
        <v>31</v>
      </c>
      <c r="D273" s="4" t="s">
        <v>10</v>
      </c>
      <c r="E273" s="4" t="s">
        <v>38</v>
      </c>
      <c r="F273" s="4" t="s">
        <v>33</v>
      </c>
      <c r="G273" s="5">
        <v>45198</v>
      </c>
      <c r="H273" s="4">
        <v>404</v>
      </c>
      <c r="I273" s="4">
        <v>270</v>
      </c>
      <c r="J273" s="6">
        <v>156.29</v>
      </c>
      <c r="K273">
        <f t="shared" si="16"/>
        <v>106</v>
      </c>
      <c r="L273">
        <f t="shared" si="17"/>
        <v>67</v>
      </c>
      <c r="M273" t="str">
        <f>IF(B273="",$Z$18,B273)</f>
        <v>West</v>
      </c>
      <c r="N273" t="str">
        <f>IF(D273="",$Z$19,D273)</f>
        <v>Clothing</v>
      </c>
      <c r="O273">
        <f>IF(H273="",$Y$24,H273)</f>
        <v>404</v>
      </c>
      <c r="P273">
        <f>IF(I273="",$Z$24,I273)</f>
        <v>270</v>
      </c>
      <c r="Q273">
        <f t="shared" si="18"/>
        <v>109080</v>
      </c>
      <c r="R273">
        <f t="shared" si="19"/>
        <v>45938.840000000004</v>
      </c>
    </row>
    <row r="274" spans="1:18">
      <c r="A274" s="3" t="s">
        <v>319</v>
      </c>
      <c r="B274" s="4" t="s">
        <v>5</v>
      </c>
      <c r="C274" s="4" t="s">
        <v>40</v>
      </c>
      <c r="D274" s="4" t="s">
        <v>10</v>
      </c>
      <c r="E274" s="4" t="s">
        <v>38</v>
      </c>
      <c r="F274" s="4" t="s">
        <v>33</v>
      </c>
      <c r="G274" s="5">
        <v>45199</v>
      </c>
      <c r="H274" s="4">
        <v>73</v>
      </c>
      <c r="I274" s="4">
        <v>93.33</v>
      </c>
      <c r="J274" s="6">
        <v>162.13</v>
      </c>
      <c r="K274">
        <f t="shared" si="16"/>
        <v>106</v>
      </c>
      <c r="L274">
        <f t="shared" si="17"/>
        <v>67</v>
      </c>
      <c r="M274" t="str">
        <f>IF(B274="",$Z$18,B274)</f>
        <v>West</v>
      </c>
      <c r="N274" t="str">
        <f>IF(D274="",$Z$19,D274)</f>
        <v>Clothing</v>
      </c>
      <c r="O274">
        <f>IF(H274="",$Y$24,H274)</f>
        <v>73</v>
      </c>
      <c r="P274">
        <f>IF(I274="",$Z$24,I274)</f>
        <v>93.33</v>
      </c>
      <c r="Q274">
        <f t="shared" si="18"/>
        <v>6813.09</v>
      </c>
      <c r="R274">
        <f t="shared" si="19"/>
        <v>-5022.3999999999996</v>
      </c>
    </row>
    <row r="275" spans="1:18">
      <c r="A275" s="3" t="s">
        <v>320</v>
      </c>
      <c r="B275" s="4" t="s">
        <v>5</v>
      </c>
      <c r="C275" s="4" t="s">
        <v>35</v>
      </c>
      <c r="D275" s="4" t="s">
        <v>9</v>
      </c>
      <c r="E275" s="4" t="s">
        <v>32</v>
      </c>
      <c r="F275" s="4" t="s">
        <v>41</v>
      </c>
      <c r="G275" s="5">
        <v>45200</v>
      </c>
      <c r="H275" s="4">
        <v>214</v>
      </c>
      <c r="I275" s="4">
        <v>159.57</v>
      </c>
      <c r="J275" s="6">
        <v>349.96</v>
      </c>
      <c r="K275">
        <f t="shared" si="16"/>
        <v>106</v>
      </c>
      <c r="L275">
        <f t="shared" si="17"/>
        <v>83</v>
      </c>
      <c r="M275" t="str">
        <f>IF(B275="",$Z$18,B275)</f>
        <v>West</v>
      </c>
      <c r="N275" t="str">
        <f>IF(D275="",$Z$19,D275)</f>
        <v>Beverages</v>
      </c>
      <c r="O275">
        <f>IF(H275="",$Y$24,H275)</f>
        <v>214</v>
      </c>
      <c r="P275">
        <f>IF(I275="",$Z$24,I275)</f>
        <v>159.57</v>
      </c>
      <c r="Q275">
        <f t="shared" si="18"/>
        <v>34147.979999999996</v>
      </c>
      <c r="R275">
        <f t="shared" si="19"/>
        <v>-40743.460000000006</v>
      </c>
    </row>
    <row r="276" spans="1:18">
      <c r="A276" s="3" t="s">
        <v>321</v>
      </c>
      <c r="B276" s="4" t="s">
        <v>3</v>
      </c>
      <c r="C276" s="4" t="s">
        <v>65</v>
      </c>
      <c r="D276" s="4" t="s">
        <v>9</v>
      </c>
      <c r="E276" s="4" t="s">
        <v>38</v>
      </c>
      <c r="F276" s="4" t="s">
        <v>36</v>
      </c>
      <c r="G276" s="5">
        <v>45201</v>
      </c>
      <c r="H276" s="4">
        <v>218</v>
      </c>
      <c r="I276" s="4">
        <v>118.97</v>
      </c>
      <c r="J276" s="6">
        <v>205.02</v>
      </c>
      <c r="K276">
        <f t="shared" si="16"/>
        <v>78</v>
      </c>
      <c r="L276">
        <f t="shared" si="17"/>
        <v>83</v>
      </c>
      <c r="M276" t="str">
        <f>IF(B276="",$Z$18,B276)</f>
        <v>North</v>
      </c>
      <c r="N276" t="str">
        <f>IF(D276="",$Z$19,D276)</f>
        <v>Beverages</v>
      </c>
      <c r="O276">
        <f>IF(H276="",$Y$24,H276)</f>
        <v>218</v>
      </c>
      <c r="P276">
        <f>IF(I276="",$Z$24,I276)</f>
        <v>118.97</v>
      </c>
      <c r="Q276">
        <f t="shared" si="18"/>
        <v>25935.46</v>
      </c>
      <c r="R276">
        <f t="shared" si="19"/>
        <v>-18758.900000000001</v>
      </c>
    </row>
    <row r="277" spans="1:18">
      <c r="A277" s="3" t="s">
        <v>322</v>
      </c>
      <c r="B277" s="4" t="s">
        <v>5</v>
      </c>
      <c r="C277" s="4" t="s">
        <v>31</v>
      </c>
      <c r="D277" s="4" t="s">
        <v>11</v>
      </c>
      <c r="E277" s="4" t="s">
        <v>38</v>
      </c>
      <c r="F277" s="4" t="s">
        <v>33</v>
      </c>
      <c r="G277" s="5">
        <v>45202</v>
      </c>
      <c r="H277" s="4">
        <v>81</v>
      </c>
      <c r="I277" s="4">
        <v>107.06</v>
      </c>
      <c r="J277" s="6">
        <v>289.92</v>
      </c>
      <c r="K277">
        <f t="shared" si="16"/>
        <v>106</v>
      </c>
      <c r="L277">
        <f t="shared" si="17"/>
        <v>70</v>
      </c>
      <c r="M277" t="str">
        <f>IF(B277="",$Z$18,B277)</f>
        <v>West</v>
      </c>
      <c r="N277" t="str">
        <f>IF(D277="",$Z$19,D277)</f>
        <v>Electronics</v>
      </c>
      <c r="O277">
        <f>IF(H277="",$Y$24,H277)</f>
        <v>81</v>
      </c>
      <c r="P277">
        <f>IF(I277="",$Z$24,I277)</f>
        <v>107.06</v>
      </c>
      <c r="Q277">
        <f t="shared" si="18"/>
        <v>8671.86</v>
      </c>
      <c r="R277">
        <f t="shared" si="19"/>
        <v>-14811.66</v>
      </c>
    </row>
    <row r="278" spans="1:18">
      <c r="A278" s="3" t="s">
        <v>323</v>
      </c>
      <c r="B278" s="4" t="s">
        <v>3</v>
      </c>
      <c r="C278" s="4" t="s">
        <v>35</v>
      </c>
      <c r="D278" s="4" t="s">
        <v>11</v>
      </c>
      <c r="E278" s="4" t="s">
        <v>38</v>
      </c>
      <c r="F278" s="4" t="s">
        <v>36</v>
      </c>
      <c r="G278" s="5">
        <v>45203</v>
      </c>
      <c r="H278" s="4">
        <v>286</v>
      </c>
      <c r="I278" s="4">
        <v>320.79000000000002</v>
      </c>
      <c r="J278" s="6">
        <v>43.45</v>
      </c>
      <c r="K278">
        <f t="shared" si="16"/>
        <v>78</v>
      </c>
      <c r="L278">
        <f t="shared" si="17"/>
        <v>70</v>
      </c>
      <c r="M278" t="str">
        <f>IF(B278="",$Z$18,B278)</f>
        <v>North</v>
      </c>
      <c r="N278" t="str">
        <f>IF(D278="",$Z$19,D278)</f>
        <v>Electronics</v>
      </c>
      <c r="O278">
        <f>IF(H278="",$Y$24,H278)</f>
        <v>286</v>
      </c>
      <c r="P278">
        <f>IF(I278="",$Z$24,I278)</f>
        <v>320.79000000000002</v>
      </c>
      <c r="Q278">
        <f t="shared" si="18"/>
        <v>91745.94</v>
      </c>
      <c r="R278">
        <f t="shared" si="19"/>
        <v>79319.240000000005</v>
      </c>
    </row>
    <row r="279" spans="1:18">
      <c r="A279" s="3" t="s">
        <v>324</v>
      </c>
      <c r="B279" s="4" t="s">
        <v>4</v>
      </c>
      <c r="C279" s="4" t="s">
        <v>65</v>
      </c>
      <c r="D279" s="4" t="s">
        <v>9</v>
      </c>
      <c r="E279" s="4" t="s">
        <v>32</v>
      </c>
      <c r="F279" s="4" t="s">
        <v>33</v>
      </c>
      <c r="G279" s="5">
        <v>45204</v>
      </c>
      <c r="H279" s="4">
        <v>283</v>
      </c>
      <c r="I279" s="4">
        <v>132.16</v>
      </c>
      <c r="J279" s="6">
        <v>91.72</v>
      </c>
      <c r="K279">
        <f t="shared" si="16"/>
        <v>75</v>
      </c>
      <c r="L279">
        <f t="shared" si="17"/>
        <v>83</v>
      </c>
      <c r="M279" t="str">
        <f>IF(B279="",$Z$18,B279)</f>
        <v>South</v>
      </c>
      <c r="N279" t="str">
        <f>IF(D279="",$Z$19,D279)</f>
        <v>Beverages</v>
      </c>
      <c r="O279">
        <f>IF(H279="",$Y$24,H279)</f>
        <v>283</v>
      </c>
      <c r="P279">
        <f>IF(I279="",$Z$24,I279)</f>
        <v>132.16</v>
      </c>
      <c r="Q279">
        <f t="shared" si="18"/>
        <v>37401.279999999999</v>
      </c>
      <c r="R279">
        <f t="shared" si="19"/>
        <v>11444.52</v>
      </c>
    </row>
    <row r="280" spans="1:18">
      <c r="A280" s="3" t="s">
        <v>325</v>
      </c>
      <c r="B280" s="4" t="s">
        <v>3</v>
      </c>
      <c r="C280" s="4" t="s">
        <v>35</v>
      </c>
      <c r="D280" s="4" t="s">
        <v>9</v>
      </c>
      <c r="E280" s="4" t="s">
        <v>32</v>
      </c>
      <c r="F280" s="4" t="s">
        <v>33</v>
      </c>
      <c r="G280" s="5">
        <v>45205</v>
      </c>
      <c r="H280" s="4">
        <v>487</v>
      </c>
      <c r="I280" s="4">
        <v>317.85000000000002</v>
      </c>
      <c r="J280" s="6">
        <v>281.77</v>
      </c>
      <c r="K280">
        <f t="shared" si="16"/>
        <v>78</v>
      </c>
      <c r="L280">
        <f t="shared" si="17"/>
        <v>83</v>
      </c>
      <c r="M280" t="str">
        <f>IF(B280="",$Z$18,B280)</f>
        <v>North</v>
      </c>
      <c r="N280" t="str">
        <f>IF(D280="",$Z$19,D280)</f>
        <v>Beverages</v>
      </c>
      <c r="O280">
        <f>IF(H280="",$Y$24,H280)</f>
        <v>487</v>
      </c>
      <c r="P280">
        <f>IF(I280="",$Z$24,I280)</f>
        <v>317.85000000000002</v>
      </c>
      <c r="Q280">
        <f t="shared" si="18"/>
        <v>154792.95000000001</v>
      </c>
      <c r="R280">
        <f t="shared" si="19"/>
        <v>17570.960000000021</v>
      </c>
    </row>
    <row r="281" spans="1:18">
      <c r="A281" s="3" t="s">
        <v>326</v>
      </c>
      <c r="B281" s="4" t="s">
        <v>4</v>
      </c>
      <c r="C281" s="4" t="s">
        <v>46</v>
      </c>
      <c r="D281" s="4" t="s">
        <v>12</v>
      </c>
      <c r="E281" s="4" t="s">
        <v>38</v>
      </c>
      <c r="F281" s="4" t="s">
        <v>36</v>
      </c>
      <c r="G281" s="5">
        <v>45206</v>
      </c>
      <c r="H281" s="4">
        <v>329</v>
      </c>
      <c r="I281" s="4">
        <v>33.94</v>
      </c>
      <c r="J281" s="6">
        <v>23.02</v>
      </c>
      <c r="K281">
        <f t="shared" si="16"/>
        <v>75</v>
      </c>
      <c r="L281">
        <f t="shared" si="17"/>
        <v>61</v>
      </c>
      <c r="M281" t="str">
        <f>IF(B281="",$Z$18,B281)</f>
        <v>South</v>
      </c>
      <c r="N281" t="str">
        <f>IF(D281="",$Z$19,D281)</f>
        <v>Food</v>
      </c>
      <c r="O281">
        <f>IF(H281="",$Y$24,H281)</f>
        <v>329</v>
      </c>
      <c r="P281">
        <f>IF(I281="",$Z$24,I281)</f>
        <v>33.94</v>
      </c>
      <c r="Q281">
        <f t="shared" si="18"/>
        <v>11166.259999999998</v>
      </c>
      <c r="R281">
        <f t="shared" si="19"/>
        <v>3592.6799999999985</v>
      </c>
    </row>
    <row r="282" spans="1:18">
      <c r="A282" s="3" t="s">
        <v>327</v>
      </c>
      <c r="B282" s="4" t="s">
        <v>5</v>
      </c>
      <c r="C282" s="4" t="s">
        <v>35</v>
      </c>
      <c r="D282" s="4" t="s">
        <v>10</v>
      </c>
      <c r="E282" s="4" t="s">
        <v>32</v>
      </c>
      <c r="F282" s="4" t="s">
        <v>41</v>
      </c>
      <c r="G282" s="5">
        <v>45207</v>
      </c>
      <c r="H282" s="4">
        <v>347</v>
      </c>
      <c r="I282" s="4">
        <v>75.180000000000007</v>
      </c>
      <c r="J282" s="6">
        <v>195.67</v>
      </c>
      <c r="K282">
        <f t="shared" si="16"/>
        <v>106</v>
      </c>
      <c r="L282">
        <f t="shared" si="17"/>
        <v>67</v>
      </c>
      <c r="M282" t="str">
        <f>IF(B282="",$Z$18,B282)</f>
        <v>West</v>
      </c>
      <c r="N282" t="str">
        <f>IF(D282="",$Z$19,D282)</f>
        <v>Clothing</v>
      </c>
      <c r="O282">
        <f>IF(H282="",$Y$24,H282)</f>
        <v>347</v>
      </c>
      <c r="P282">
        <f>IF(I282="",$Z$24,I282)</f>
        <v>75.180000000000007</v>
      </c>
      <c r="Q282">
        <f t="shared" si="18"/>
        <v>26087.460000000003</v>
      </c>
      <c r="R282">
        <f t="shared" si="19"/>
        <v>-41810.029999999984</v>
      </c>
    </row>
    <row r="283" spans="1:18">
      <c r="A283" s="3" t="s">
        <v>328</v>
      </c>
      <c r="B283" s="4" t="s">
        <v>5</v>
      </c>
      <c r="C283" s="4" t="s">
        <v>35</v>
      </c>
      <c r="D283" s="4" t="s">
        <v>11</v>
      </c>
      <c r="E283" s="4" t="s">
        <v>38</v>
      </c>
      <c r="F283" s="4" t="s">
        <v>33</v>
      </c>
      <c r="G283" s="5">
        <v>45208</v>
      </c>
      <c r="H283" s="4">
        <v>375</v>
      </c>
      <c r="I283" s="4">
        <v>140.9</v>
      </c>
      <c r="J283" s="6">
        <v>240.55</v>
      </c>
      <c r="K283">
        <f t="shared" si="16"/>
        <v>106</v>
      </c>
      <c r="L283">
        <f t="shared" si="17"/>
        <v>70</v>
      </c>
      <c r="M283" t="str">
        <f>IF(B283="",$Z$18,B283)</f>
        <v>West</v>
      </c>
      <c r="N283" t="str">
        <f>IF(D283="",$Z$19,D283)</f>
        <v>Electronics</v>
      </c>
      <c r="O283">
        <f>IF(H283="",$Y$24,H283)</f>
        <v>375</v>
      </c>
      <c r="P283">
        <f>IF(I283="",$Z$24,I283)</f>
        <v>140.9</v>
      </c>
      <c r="Q283">
        <f t="shared" si="18"/>
        <v>52837.5</v>
      </c>
      <c r="R283">
        <f t="shared" si="19"/>
        <v>-37368.75</v>
      </c>
    </row>
    <row r="284" spans="1:18">
      <c r="A284" s="3" t="s">
        <v>329</v>
      </c>
      <c r="B284" s="4" t="s">
        <v>4</v>
      </c>
      <c r="C284" s="4" t="s">
        <v>35</v>
      </c>
      <c r="D284" s="4" t="s">
        <v>10</v>
      </c>
      <c r="E284" s="4" t="s">
        <v>32</v>
      </c>
      <c r="F284" s="4" t="s">
        <v>33</v>
      </c>
      <c r="G284" s="5">
        <v>45209</v>
      </c>
      <c r="H284" s="4">
        <v>104</v>
      </c>
      <c r="I284" s="4">
        <v>300.54000000000002</v>
      </c>
      <c r="J284" s="6">
        <v>241.65</v>
      </c>
      <c r="K284">
        <f t="shared" si="16"/>
        <v>75</v>
      </c>
      <c r="L284">
        <f t="shared" si="17"/>
        <v>67</v>
      </c>
      <c r="M284" t="str">
        <f>IF(B284="",$Z$18,B284)</f>
        <v>South</v>
      </c>
      <c r="N284" t="str">
        <f>IF(D284="",$Z$19,D284)</f>
        <v>Clothing</v>
      </c>
      <c r="O284">
        <f>IF(H284="",$Y$24,H284)</f>
        <v>104</v>
      </c>
      <c r="P284">
        <f>IF(I284="",$Z$24,I284)</f>
        <v>300.54000000000002</v>
      </c>
      <c r="Q284">
        <f t="shared" si="18"/>
        <v>31256.160000000003</v>
      </c>
      <c r="R284">
        <f t="shared" si="19"/>
        <v>6124.5600000000013</v>
      </c>
    </row>
    <row r="285" spans="1:18">
      <c r="A285" s="3" t="s">
        <v>330</v>
      </c>
      <c r="B285" s="4" t="s">
        <v>2</v>
      </c>
      <c r="C285" s="4" t="s">
        <v>31</v>
      </c>
      <c r="D285" s="4" t="s">
        <v>9</v>
      </c>
      <c r="E285" s="4" t="s">
        <v>32</v>
      </c>
      <c r="F285" s="4" t="s">
        <v>33</v>
      </c>
      <c r="G285" s="5">
        <v>45210</v>
      </c>
      <c r="H285" s="4">
        <v>175</v>
      </c>
      <c r="I285" s="4">
        <v>339.54</v>
      </c>
      <c r="J285" s="6">
        <v>11.13</v>
      </c>
      <c r="K285">
        <f t="shared" si="16"/>
        <v>91</v>
      </c>
      <c r="L285">
        <f t="shared" si="17"/>
        <v>83</v>
      </c>
      <c r="M285" t="str">
        <f>IF(B285="",$Z$18,B285)</f>
        <v>East</v>
      </c>
      <c r="N285" t="str">
        <f>IF(D285="",$Z$19,D285)</f>
        <v>Beverages</v>
      </c>
      <c r="O285">
        <f>IF(H285="",$Y$24,H285)</f>
        <v>175</v>
      </c>
      <c r="P285">
        <f>IF(I285="",$Z$24,I285)</f>
        <v>339.54</v>
      </c>
      <c r="Q285">
        <f t="shared" si="18"/>
        <v>59419.5</v>
      </c>
      <c r="R285">
        <f t="shared" si="19"/>
        <v>57471.75</v>
      </c>
    </row>
    <row r="286" spans="1:18">
      <c r="A286" s="3" t="s">
        <v>331</v>
      </c>
      <c r="B286" s="4" t="s">
        <v>4</v>
      </c>
      <c r="C286" s="4" t="s">
        <v>35</v>
      </c>
      <c r="D286" s="4" t="s">
        <v>9</v>
      </c>
      <c r="E286" s="4" t="s">
        <v>32</v>
      </c>
      <c r="F286" s="4" t="s">
        <v>36</v>
      </c>
      <c r="G286" s="5">
        <v>45211</v>
      </c>
      <c r="H286" s="4">
        <v>41</v>
      </c>
      <c r="I286" s="4">
        <v>224.14</v>
      </c>
      <c r="J286" s="6">
        <v>130.19999999999999</v>
      </c>
      <c r="K286">
        <f t="shared" si="16"/>
        <v>75</v>
      </c>
      <c r="L286">
        <f t="shared" si="17"/>
        <v>83</v>
      </c>
      <c r="M286" t="str">
        <f>IF(B286="",$Z$18,B286)</f>
        <v>South</v>
      </c>
      <c r="N286" t="str">
        <f>IF(D286="",$Z$19,D286)</f>
        <v>Beverages</v>
      </c>
      <c r="O286">
        <f>IF(H286="",$Y$24,H286)</f>
        <v>41</v>
      </c>
      <c r="P286">
        <f>IF(I286="",$Z$24,I286)</f>
        <v>224.14</v>
      </c>
      <c r="Q286">
        <f t="shared" si="18"/>
        <v>9189.74</v>
      </c>
      <c r="R286">
        <f t="shared" si="19"/>
        <v>3851.54</v>
      </c>
    </row>
    <row r="287" spans="1:18">
      <c r="A287" s="3" t="s">
        <v>332</v>
      </c>
      <c r="B287" s="4" t="s">
        <v>2</v>
      </c>
      <c r="C287" s="4" t="s">
        <v>65</v>
      </c>
      <c r="D287" s="4" t="s">
        <v>12</v>
      </c>
      <c r="E287" s="4" t="s">
        <v>32</v>
      </c>
      <c r="F287" s="4" t="s">
        <v>41</v>
      </c>
      <c r="G287" s="5">
        <v>45212</v>
      </c>
      <c r="H287" s="4">
        <v>20</v>
      </c>
      <c r="I287" s="4">
        <v>225.67</v>
      </c>
      <c r="J287" s="6">
        <v>255.32</v>
      </c>
      <c r="K287">
        <f t="shared" si="16"/>
        <v>91</v>
      </c>
      <c r="L287">
        <f t="shared" si="17"/>
        <v>61</v>
      </c>
      <c r="M287" t="str">
        <f>IF(B287="",$Z$18,B287)</f>
        <v>East</v>
      </c>
      <c r="N287" t="str">
        <f>IF(D287="",$Z$19,D287)</f>
        <v>Food</v>
      </c>
      <c r="O287">
        <f>IF(H287="",$Y$24,H287)</f>
        <v>20</v>
      </c>
      <c r="P287">
        <f>IF(I287="",$Z$24,I287)</f>
        <v>225.67</v>
      </c>
      <c r="Q287">
        <f t="shared" si="18"/>
        <v>4513.3999999999996</v>
      </c>
      <c r="R287">
        <f t="shared" si="19"/>
        <v>-593</v>
      </c>
    </row>
    <row r="288" spans="1:18">
      <c r="A288" s="3" t="s">
        <v>333</v>
      </c>
      <c r="B288" s="4" t="s">
        <v>3</v>
      </c>
      <c r="C288" s="4" t="s">
        <v>46</v>
      </c>
      <c r="D288" s="4" t="s">
        <v>13</v>
      </c>
      <c r="E288" s="4" t="s">
        <v>38</v>
      </c>
      <c r="F288" s="4" t="s">
        <v>36</v>
      </c>
      <c r="G288" s="5">
        <v>45213</v>
      </c>
      <c r="H288" s="4">
        <v>310</v>
      </c>
      <c r="I288" s="4">
        <v>363.64</v>
      </c>
      <c r="J288" s="6">
        <v>61.3</v>
      </c>
      <c r="K288">
        <f t="shared" si="16"/>
        <v>78</v>
      </c>
      <c r="L288">
        <f t="shared" si="17"/>
        <v>69</v>
      </c>
      <c r="M288" t="str">
        <f>IF(B288="",$Z$18,B288)</f>
        <v>North</v>
      </c>
      <c r="N288" t="str">
        <f>IF(D288="",$Z$19,D288)</f>
        <v>Furniture</v>
      </c>
      <c r="O288">
        <f>IF(H288="",$Y$24,H288)</f>
        <v>310</v>
      </c>
      <c r="P288">
        <f>IF(I288="",$Z$24,I288)</f>
        <v>363.64</v>
      </c>
      <c r="Q288">
        <f t="shared" si="18"/>
        <v>112728.4</v>
      </c>
      <c r="R288">
        <f t="shared" si="19"/>
        <v>93725.4</v>
      </c>
    </row>
    <row r="289" spans="1:18">
      <c r="A289" s="3" t="s">
        <v>334</v>
      </c>
      <c r="B289" s="4" t="s">
        <v>3</v>
      </c>
      <c r="C289" s="4" t="s">
        <v>46</v>
      </c>
      <c r="D289" s="4" t="s">
        <v>12</v>
      </c>
      <c r="E289" s="4" t="s">
        <v>38</v>
      </c>
      <c r="F289" s="4" t="s">
        <v>36</v>
      </c>
      <c r="G289" s="5">
        <v>45214</v>
      </c>
      <c r="H289" s="4">
        <v>226</v>
      </c>
      <c r="I289" s="4">
        <v>249.64520588235297</v>
      </c>
      <c r="J289" s="6">
        <v>278.77999999999997</v>
      </c>
      <c r="K289">
        <f t="shared" si="16"/>
        <v>78</v>
      </c>
      <c r="L289">
        <f t="shared" si="17"/>
        <v>61</v>
      </c>
      <c r="M289" t="str">
        <f>IF(B289="",$Z$18,B289)</f>
        <v>North</v>
      </c>
      <c r="N289" t="str">
        <f>IF(D289="",$Z$19,D289)</f>
        <v>Food</v>
      </c>
      <c r="O289">
        <f>IF(H289="",$Y$24,H289)</f>
        <v>226</v>
      </c>
      <c r="P289">
        <f>IF(I289="",$Z$24,I289)</f>
        <v>249.64520588235297</v>
      </c>
      <c r="Q289">
        <f t="shared" si="18"/>
        <v>56419.816529411772</v>
      </c>
      <c r="R289">
        <f t="shared" si="19"/>
        <v>-6584.4634705882199</v>
      </c>
    </row>
    <row r="290" spans="1:18">
      <c r="A290" s="3" t="s">
        <v>335</v>
      </c>
      <c r="B290" s="4" t="s">
        <v>3</v>
      </c>
      <c r="C290" s="4" t="s">
        <v>35</v>
      </c>
      <c r="D290" s="4" t="s">
        <v>12</v>
      </c>
      <c r="E290" s="4" t="s">
        <v>38</v>
      </c>
      <c r="F290" s="4" t="s">
        <v>41</v>
      </c>
      <c r="G290" s="5">
        <v>45215</v>
      </c>
      <c r="H290" s="4">
        <v>255.90294117647059</v>
      </c>
      <c r="I290" s="4">
        <v>173.84</v>
      </c>
      <c r="J290" s="6">
        <v>298.88</v>
      </c>
      <c r="K290">
        <f t="shared" si="16"/>
        <v>78</v>
      </c>
      <c r="L290">
        <f t="shared" si="17"/>
        <v>61</v>
      </c>
      <c r="M290" t="str">
        <f>IF(B290="",$Z$18,B290)</f>
        <v>North</v>
      </c>
      <c r="N290" t="str">
        <f>IF(D290="",$Z$19,D290)</f>
        <v>Food</v>
      </c>
      <c r="O290">
        <f>IF(H290="",$Y$24,H290)</f>
        <v>255.90294117647059</v>
      </c>
      <c r="P290">
        <f>IF(I290="",$Z$24,I290)</f>
        <v>173.84</v>
      </c>
      <c r="Q290">
        <f t="shared" si="18"/>
        <v>44486.167294117651</v>
      </c>
      <c r="R290">
        <f t="shared" si="19"/>
        <v>-31998.103764705884</v>
      </c>
    </row>
    <row r="291" spans="1:18">
      <c r="A291" s="3" t="s">
        <v>336</v>
      </c>
      <c r="B291" s="4" t="s">
        <v>5</v>
      </c>
      <c r="C291" s="4" t="s">
        <v>31</v>
      </c>
      <c r="D291" s="4" t="s">
        <v>10</v>
      </c>
      <c r="E291" s="4" t="s">
        <v>32</v>
      </c>
      <c r="F291" s="4" t="s">
        <v>36</v>
      </c>
      <c r="G291" s="5">
        <v>45216</v>
      </c>
      <c r="H291" s="4">
        <v>111</v>
      </c>
      <c r="I291" s="4">
        <v>410.26</v>
      </c>
      <c r="J291" s="6">
        <v>392.82</v>
      </c>
      <c r="K291">
        <f t="shared" si="16"/>
        <v>106</v>
      </c>
      <c r="L291">
        <f t="shared" si="17"/>
        <v>67</v>
      </c>
      <c r="M291" t="str">
        <f>IF(B291="",$Z$18,B291)</f>
        <v>West</v>
      </c>
      <c r="N291" t="str">
        <f>IF(D291="",$Z$19,D291)</f>
        <v>Clothing</v>
      </c>
      <c r="O291">
        <f>IF(H291="",$Y$24,H291)</f>
        <v>111</v>
      </c>
      <c r="P291">
        <f>IF(I291="",$Z$24,I291)</f>
        <v>410.26</v>
      </c>
      <c r="Q291">
        <f t="shared" si="18"/>
        <v>45538.86</v>
      </c>
      <c r="R291">
        <f t="shared" si="19"/>
        <v>1935.8400000000038</v>
      </c>
    </row>
    <row r="292" spans="1:18">
      <c r="A292" s="3" t="s">
        <v>337</v>
      </c>
      <c r="B292" s="4" t="s">
        <v>3</v>
      </c>
      <c r="C292" s="4" t="s">
        <v>31</v>
      </c>
      <c r="D292" s="4" t="s">
        <v>12</v>
      </c>
      <c r="E292" s="4" t="s">
        <v>38</v>
      </c>
      <c r="F292" s="4" t="s">
        <v>41</v>
      </c>
      <c r="G292" s="5">
        <v>45217</v>
      </c>
      <c r="H292" s="4">
        <v>434</v>
      </c>
      <c r="I292" s="4">
        <v>303.58999999999997</v>
      </c>
      <c r="J292" s="6">
        <v>85.52</v>
      </c>
      <c r="K292">
        <f t="shared" si="16"/>
        <v>78</v>
      </c>
      <c r="L292">
        <f t="shared" si="17"/>
        <v>61</v>
      </c>
      <c r="M292" t="str">
        <f>IF(B292="",$Z$18,B292)</f>
        <v>North</v>
      </c>
      <c r="N292" t="str">
        <f>IF(D292="",$Z$19,D292)</f>
        <v>Food</v>
      </c>
      <c r="O292">
        <f>IF(H292="",$Y$24,H292)</f>
        <v>434</v>
      </c>
      <c r="P292">
        <f>IF(I292="",$Z$24,I292)</f>
        <v>303.58999999999997</v>
      </c>
      <c r="Q292">
        <f t="shared" si="18"/>
        <v>131758.06</v>
      </c>
      <c r="R292">
        <f t="shared" si="19"/>
        <v>94642.38</v>
      </c>
    </row>
    <row r="293" spans="1:18">
      <c r="A293" s="3" t="s">
        <v>338</v>
      </c>
      <c r="B293" s="4" t="s">
        <v>2</v>
      </c>
      <c r="C293" s="4" t="s">
        <v>65</v>
      </c>
      <c r="D293" s="4" t="s">
        <v>11</v>
      </c>
      <c r="E293" s="4" t="s">
        <v>38</v>
      </c>
      <c r="F293" s="4" t="s">
        <v>33</v>
      </c>
      <c r="G293" s="5">
        <v>45218</v>
      </c>
      <c r="H293" s="4">
        <v>401</v>
      </c>
      <c r="I293" s="4">
        <v>171.93</v>
      </c>
      <c r="J293" s="6">
        <v>330.4</v>
      </c>
      <c r="K293">
        <f t="shared" si="16"/>
        <v>91</v>
      </c>
      <c r="L293">
        <f t="shared" si="17"/>
        <v>70</v>
      </c>
      <c r="M293" t="str">
        <f>IF(B293="",$Z$18,B293)</f>
        <v>East</v>
      </c>
      <c r="N293" t="str">
        <f>IF(D293="",$Z$19,D293)</f>
        <v>Electronics</v>
      </c>
      <c r="O293">
        <f>IF(H293="",$Y$24,H293)</f>
        <v>401</v>
      </c>
      <c r="P293">
        <f>IF(I293="",$Z$24,I293)</f>
        <v>171.93</v>
      </c>
      <c r="Q293">
        <f t="shared" si="18"/>
        <v>68943.930000000008</v>
      </c>
      <c r="R293">
        <f t="shared" si="19"/>
        <v>-63546.469999999987</v>
      </c>
    </row>
    <row r="294" spans="1:18">
      <c r="A294" s="3" t="s">
        <v>339</v>
      </c>
      <c r="B294" s="4" t="s">
        <v>3</v>
      </c>
      <c r="C294" s="4" t="s">
        <v>35</v>
      </c>
      <c r="D294" s="4" t="s">
        <v>10</v>
      </c>
      <c r="E294" s="4" t="s">
        <v>38</v>
      </c>
      <c r="F294" s="4" t="s">
        <v>41</v>
      </c>
      <c r="G294" s="5">
        <v>45219</v>
      </c>
      <c r="H294" s="4">
        <v>276</v>
      </c>
      <c r="I294" s="4">
        <v>453.23</v>
      </c>
      <c r="J294" s="6">
        <v>209.08</v>
      </c>
      <c r="K294">
        <f t="shared" si="16"/>
        <v>78</v>
      </c>
      <c r="L294">
        <f t="shared" si="17"/>
        <v>67</v>
      </c>
      <c r="M294" t="str">
        <f>IF(B294="",$Z$18,B294)</f>
        <v>North</v>
      </c>
      <c r="N294" t="str">
        <f>IF(D294="",$Z$19,D294)</f>
        <v>Clothing</v>
      </c>
      <c r="O294">
        <f>IF(H294="",$Y$24,H294)</f>
        <v>276</v>
      </c>
      <c r="P294">
        <f>IF(I294="",$Z$24,I294)</f>
        <v>453.23</v>
      </c>
      <c r="Q294">
        <f t="shared" si="18"/>
        <v>125091.48000000001</v>
      </c>
      <c r="R294">
        <f t="shared" si="19"/>
        <v>67385.400000000009</v>
      </c>
    </row>
    <row r="295" spans="1:18">
      <c r="A295" s="3" t="s">
        <v>340</v>
      </c>
      <c r="B295" s="4" t="s">
        <v>4</v>
      </c>
      <c r="C295" s="4" t="s">
        <v>46</v>
      </c>
      <c r="D295" s="4" t="s">
        <v>11</v>
      </c>
      <c r="E295" s="4" t="s">
        <v>32</v>
      </c>
      <c r="F295" s="4" t="s">
        <v>33</v>
      </c>
      <c r="G295" s="5">
        <v>45220</v>
      </c>
      <c r="H295" s="4">
        <v>255.90294117647059</v>
      </c>
      <c r="I295" s="4">
        <v>387.45</v>
      </c>
      <c r="J295" s="6">
        <v>150.63999999999999</v>
      </c>
      <c r="K295">
        <f t="shared" si="16"/>
        <v>75</v>
      </c>
      <c r="L295">
        <f t="shared" si="17"/>
        <v>70</v>
      </c>
      <c r="M295" t="str">
        <f>IF(B295="",$Z$18,B295)</f>
        <v>South</v>
      </c>
      <c r="N295" t="str">
        <f>IF(D295="",$Z$19,D295)</f>
        <v>Electronics</v>
      </c>
      <c r="O295">
        <f>IF(H295="",$Y$24,H295)</f>
        <v>255.90294117647059</v>
      </c>
      <c r="P295">
        <f>IF(I295="",$Z$24,I295)</f>
        <v>387.45</v>
      </c>
      <c r="Q295">
        <f t="shared" si="18"/>
        <v>99149.594558823534</v>
      </c>
      <c r="R295">
        <f t="shared" si="19"/>
        <v>60600.375500000009</v>
      </c>
    </row>
    <row r="296" spans="1:18">
      <c r="A296" s="3" t="s">
        <v>341</v>
      </c>
      <c r="B296" s="4" t="s">
        <v>4</v>
      </c>
      <c r="C296" s="4" t="s">
        <v>31</v>
      </c>
      <c r="D296" s="4" t="s">
        <v>13</v>
      </c>
      <c r="E296" s="4" t="s">
        <v>32</v>
      </c>
      <c r="F296" s="4" t="s">
        <v>36</v>
      </c>
      <c r="G296" s="5">
        <v>45221</v>
      </c>
      <c r="H296" s="4">
        <v>188</v>
      </c>
      <c r="I296" s="4">
        <v>136.12</v>
      </c>
      <c r="J296" s="6">
        <v>50.71</v>
      </c>
      <c r="K296">
        <f t="shared" si="16"/>
        <v>75</v>
      </c>
      <c r="L296">
        <f t="shared" si="17"/>
        <v>69</v>
      </c>
      <c r="M296" t="str">
        <f>IF(B296="",$Z$18,B296)</f>
        <v>South</v>
      </c>
      <c r="N296" t="str">
        <f>IF(D296="",$Z$19,D296)</f>
        <v>Furniture</v>
      </c>
      <c r="O296">
        <f>IF(H296="",$Y$24,H296)</f>
        <v>188</v>
      </c>
      <c r="P296">
        <f>IF(I296="",$Z$24,I296)</f>
        <v>136.12</v>
      </c>
      <c r="Q296">
        <f t="shared" si="18"/>
        <v>25590.560000000001</v>
      </c>
      <c r="R296">
        <f t="shared" si="19"/>
        <v>16057.080000000002</v>
      </c>
    </row>
    <row r="297" spans="1:18">
      <c r="A297" s="3" t="s">
        <v>342</v>
      </c>
      <c r="B297" s="4" t="s">
        <v>5</v>
      </c>
      <c r="C297" s="4" t="s">
        <v>35</v>
      </c>
      <c r="D297" s="4" t="s">
        <v>10</v>
      </c>
      <c r="E297" s="4" t="s">
        <v>32</v>
      </c>
      <c r="F297" s="4" t="s">
        <v>36</v>
      </c>
      <c r="G297" s="5">
        <v>45222</v>
      </c>
      <c r="H297" s="4">
        <v>97</v>
      </c>
      <c r="I297" s="4">
        <v>324.42</v>
      </c>
      <c r="J297" s="6">
        <v>294.73</v>
      </c>
      <c r="K297">
        <f t="shared" si="16"/>
        <v>106</v>
      </c>
      <c r="L297">
        <f t="shared" si="17"/>
        <v>67</v>
      </c>
      <c r="M297" t="str">
        <f>IF(B297="",$Z$18,B297)</f>
        <v>West</v>
      </c>
      <c r="N297" t="str">
        <f>IF(D297="",$Z$19,D297)</f>
        <v>Clothing</v>
      </c>
      <c r="O297">
        <f>IF(H297="",$Y$24,H297)</f>
        <v>97</v>
      </c>
      <c r="P297">
        <f>IF(I297="",$Z$24,I297)</f>
        <v>324.42</v>
      </c>
      <c r="Q297">
        <f t="shared" si="18"/>
        <v>31468.74</v>
      </c>
      <c r="R297">
        <f t="shared" si="19"/>
        <v>2879.9300000000003</v>
      </c>
    </row>
    <row r="298" spans="1:18">
      <c r="A298" s="3" t="s">
        <v>343</v>
      </c>
      <c r="B298" s="4" t="s">
        <v>4</v>
      </c>
      <c r="C298" s="4" t="s">
        <v>31</v>
      </c>
      <c r="D298" s="4" t="s">
        <v>13</v>
      </c>
      <c r="E298" s="4" t="s">
        <v>38</v>
      </c>
      <c r="F298" s="4" t="s">
        <v>33</v>
      </c>
      <c r="G298" s="5">
        <v>45223</v>
      </c>
      <c r="H298" s="4">
        <v>50</v>
      </c>
      <c r="I298" s="4">
        <v>299.89999999999998</v>
      </c>
      <c r="J298" s="6">
        <v>95.87</v>
      </c>
      <c r="K298">
        <f t="shared" si="16"/>
        <v>75</v>
      </c>
      <c r="L298">
        <f t="shared" si="17"/>
        <v>69</v>
      </c>
      <c r="M298" t="str">
        <f>IF(B298="",$Z$18,B298)</f>
        <v>South</v>
      </c>
      <c r="N298" t="str">
        <f>IF(D298="",$Z$19,D298)</f>
        <v>Furniture</v>
      </c>
      <c r="O298">
        <f>IF(H298="",$Y$24,H298)</f>
        <v>50</v>
      </c>
      <c r="P298">
        <f>IF(I298="",$Z$24,I298)</f>
        <v>299.89999999999998</v>
      </c>
      <c r="Q298">
        <f t="shared" si="18"/>
        <v>14994.999999999998</v>
      </c>
      <c r="R298">
        <f t="shared" si="19"/>
        <v>10201.499999999998</v>
      </c>
    </row>
    <row r="299" spans="1:18">
      <c r="A299" s="3" t="s">
        <v>344</v>
      </c>
      <c r="B299" s="4" t="s">
        <v>2</v>
      </c>
      <c r="C299" s="4" t="s">
        <v>31</v>
      </c>
      <c r="D299" s="4" t="s">
        <v>10</v>
      </c>
      <c r="E299" s="4" t="s">
        <v>38</v>
      </c>
      <c r="F299" s="4" t="s">
        <v>36</v>
      </c>
      <c r="G299" s="5">
        <v>45224</v>
      </c>
      <c r="H299" s="4">
        <v>410</v>
      </c>
      <c r="I299" s="4">
        <v>203.59</v>
      </c>
      <c r="J299" s="6">
        <v>149.83000000000001</v>
      </c>
      <c r="K299">
        <f t="shared" si="16"/>
        <v>91</v>
      </c>
      <c r="L299">
        <f t="shared" si="17"/>
        <v>67</v>
      </c>
      <c r="M299" t="str">
        <f>IF(B299="",$Z$18,B299)</f>
        <v>East</v>
      </c>
      <c r="N299" t="str">
        <f>IF(D299="",$Z$19,D299)</f>
        <v>Clothing</v>
      </c>
      <c r="O299">
        <f>IF(H299="",$Y$24,H299)</f>
        <v>410</v>
      </c>
      <c r="P299">
        <f>IF(I299="",$Z$24,I299)</f>
        <v>203.59</v>
      </c>
      <c r="Q299">
        <f t="shared" si="18"/>
        <v>83471.899999999994</v>
      </c>
      <c r="R299">
        <f t="shared" si="19"/>
        <v>22041.599999999991</v>
      </c>
    </row>
    <row r="300" spans="1:18">
      <c r="A300" s="3" t="s">
        <v>345</v>
      </c>
      <c r="B300" s="4" t="s">
        <v>3</v>
      </c>
      <c r="C300" s="4" t="s">
        <v>46</v>
      </c>
      <c r="D300" s="4" t="s">
        <v>9</v>
      </c>
      <c r="E300" s="4" t="s">
        <v>38</v>
      </c>
      <c r="F300" s="4" t="s">
        <v>41</v>
      </c>
      <c r="G300" s="5">
        <v>45225</v>
      </c>
      <c r="H300" s="4">
        <v>85</v>
      </c>
      <c r="I300" s="4">
        <v>186.64</v>
      </c>
      <c r="J300" s="6">
        <v>26.89</v>
      </c>
      <c r="K300">
        <f t="shared" si="16"/>
        <v>78</v>
      </c>
      <c r="L300">
        <f t="shared" si="17"/>
        <v>83</v>
      </c>
      <c r="M300" t="str">
        <f>IF(B300="",$Z$18,B300)</f>
        <v>North</v>
      </c>
      <c r="N300" t="str">
        <f>IF(D300="",$Z$19,D300)</f>
        <v>Beverages</v>
      </c>
      <c r="O300">
        <f>IF(H300="",$Y$24,H300)</f>
        <v>85</v>
      </c>
      <c r="P300">
        <f>IF(I300="",$Z$24,I300)</f>
        <v>186.64</v>
      </c>
      <c r="Q300">
        <f t="shared" si="18"/>
        <v>15864.4</v>
      </c>
      <c r="R300">
        <f t="shared" si="19"/>
        <v>13578.75</v>
      </c>
    </row>
    <row r="301" spans="1:18">
      <c r="A301" s="3" t="s">
        <v>346</v>
      </c>
      <c r="B301" s="4" t="s">
        <v>5</v>
      </c>
      <c r="C301" s="4" t="s">
        <v>40</v>
      </c>
      <c r="D301" s="4" t="s">
        <v>12</v>
      </c>
      <c r="E301" s="4" t="s">
        <v>32</v>
      </c>
      <c r="F301" s="4" t="s">
        <v>33</v>
      </c>
      <c r="G301" s="5">
        <v>45226</v>
      </c>
      <c r="H301" s="4">
        <v>386</v>
      </c>
      <c r="I301" s="4">
        <v>175.06</v>
      </c>
      <c r="J301" s="6">
        <v>320.94</v>
      </c>
      <c r="K301">
        <f t="shared" si="16"/>
        <v>106</v>
      </c>
      <c r="L301">
        <f t="shared" si="17"/>
        <v>61</v>
      </c>
      <c r="M301" t="str">
        <f>IF(B301="",$Z$18,B301)</f>
        <v>West</v>
      </c>
      <c r="N301" t="str">
        <f>IF(D301="",$Z$19,D301)</f>
        <v>Food</v>
      </c>
      <c r="O301">
        <f>IF(H301="",$Y$24,H301)</f>
        <v>386</v>
      </c>
      <c r="P301">
        <f>IF(I301="",$Z$24,I301)</f>
        <v>175.06</v>
      </c>
      <c r="Q301">
        <f t="shared" si="18"/>
        <v>67573.16</v>
      </c>
      <c r="R301">
        <f t="shared" si="19"/>
        <v>-56309.679999999993</v>
      </c>
    </row>
    <row r="302" spans="1:18">
      <c r="A302" s="3" t="s">
        <v>347</v>
      </c>
      <c r="B302" s="4" t="s">
        <v>3</v>
      </c>
      <c r="C302" s="4" t="s">
        <v>65</v>
      </c>
      <c r="D302" s="4" t="s">
        <v>9</v>
      </c>
      <c r="E302" s="4" t="s">
        <v>32</v>
      </c>
      <c r="F302" s="4" t="s">
        <v>36</v>
      </c>
      <c r="G302" s="5">
        <v>45227</v>
      </c>
      <c r="H302" s="4">
        <v>55</v>
      </c>
      <c r="I302" s="4">
        <v>310.49</v>
      </c>
      <c r="J302" s="6">
        <v>307.10000000000002</v>
      </c>
      <c r="K302">
        <f t="shared" si="16"/>
        <v>78</v>
      </c>
      <c r="L302">
        <f t="shared" si="17"/>
        <v>83</v>
      </c>
      <c r="M302" t="str">
        <f>IF(B302="",$Z$18,B302)</f>
        <v>North</v>
      </c>
      <c r="N302" t="str">
        <f>IF(D302="",$Z$19,D302)</f>
        <v>Beverages</v>
      </c>
      <c r="O302">
        <f>IF(H302="",$Y$24,H302)</f>
        <v>55</v>
      </c>
      <c r="P302">
        <f>IF(I302="",$Z$24,I302)</f>
        <v>310.49</v>
      </c>
      <c r="Q302">
        <f t="shared" si="18"/>
        <v>17076.95</v>
      </c>
      <c r="R302">
        <f t="shared" si="19"/>
        <v>186.45000000000073</v>
      </c>
    </row>
    <row r="303" spans="1:18">
      <c r="A303" s="3" t="s">
        <v>348</v>
      </c>
      <c r="B303" s="4" t="s">
        <v>3</v>
      </c>
      <c r="C303" s="4" t="s">
        <v>65</v>
      </c>
      <c r="D303" s="4" t="s">
        <v>13</v>
      </c>
      <c r="E303" s="4" t="s">
        <v>38</v>
      </c>
      <c r="F303" s="4" t="s">
        <v>33</v>
      </c>
      <c r="G303" s="5">
        <v>45228</v>
      </c>
      <c r="H303" s="4">
        <v>169</v>
      </c>
      <c r="I303" s="4">
        <v>223.99</v>
      </c>
      <c r="J303" s="6">
        <v>293.98</v>
      </c>
      <c r="K303">
        <f t="shared" si="16"/>
        <v>78</v>
      </c>
      <c r="L303">
        <f t="shared" si="17"/>
        <v>69</v>
      </c>
      <c r="M303" t="str">
        <f>IF(B303="",$Z$18,B303)</f>
        <v>North</v>
      </c>
      <c r="N303" t="str">
        <f>IF(D303="",$Z$19,D303)</f>
        <v>Furniture</v>
      </c>
      <c r="O303">
        <f>IF(H303="",$Y$24,H303)</f>
        <v>169</v>
      </c>
      <c r="P303">
        <f>IF(I303="",$Z$24,I303)</f>
        <v>223.99</v>
      </c>
      <c r="Q303">
        <f t="shared" si="18"/>
        <v>37854.310000000005</v>
      </c>
      <c r="R303">
        <f t="shared" si="19"/>
        <v>-11828.309999999998</v>
      </c>
    </row>
    <row r="304" spans="1:18">
      <c r="A304" s="3" t="s">
        <v>349</v>
      </c>
      <c r="B304" s="4" t="s">
        <v>2</v>
      </c>
      <c r="C304" s="4" t="s">
        <v>46</v>
      </c>
      <c r="D304" s="4" t="s">
        <v>12</v>
      </c>
      <c r="E304" s="4" t="s">
        <v>32</v>
      </c>
      <c r="F304" s="4" t="s">
        <v>41</v>
      </c>
      <c r="G304" s="5">
        <v>45229</v>
      </c>
      <c r="H304" s="4">
        <v>472</v>
      </c>
      <c r="I304" s="4">
        <v>416.77</v>
      </c>
      <c r="J304" s="6">
        <v>121.18</v>
      </c>
      <c r="K304">
        <f t="shared" si="16"/>
        <v>91</v>
      </c>
      <c r="L304">
        <f t="shared" si="17"/>
        <v>61</v>
      </c>
      <c r="M304" t="str">
        <f>IF(B304="",$Z$18,B304)</f>
        <v>East</v>
      </c>
      <c r="N304" t="str">
        <f>IF(D304="",$Z$19,D304)</f>
        <v>Food</v>
      </c>
      <c r="O304">
        <f>IF(H304="",$Y$24,H304)</f>
        <v>472</v>
      </c>
      <c r="P304">
        <f>IF(I304="",$Z$24,I304)</f>
        <v>416.77</v>
      </c>
      <c r="Q304">
        <f t="shared" si="18"/>
        <v>196715.44</v>
      </c>
      <c r="R304">
        <f t="shared" si="19"/>
        <v>139518.47999999998</v>
      </c>
    </row>
    <row r="305" spans="1:18">
      <c r="A305" s="3" t="s">
        <v>350</v>
      </c>
      <c r="B305" s="4" t="s">
        <v>4</v>
      </c>
      <c r="C305" s="4" t="s">
        <v>31</v>
      </c>
      <c r="D305" s="4" t="s">
        <v>10</v>
      </c>
      <c r="E305" s="4" t="s">
        <v>32</v>
      </c>
      <c r="F305" s="4" t="s">
        <v>41</v>
      </c>
      <c r="G305" s="5">
        <v>45230</v>
      </c>
      <c r="H305" s="4">
        <v>89</v>
      </c>
      <c r="I305" s="4">
        <v>336.45</v>
      </c>
      <c r="J305" s="6">
        <v>71.05</v>
      </c>
      <c r="K305">
        <f t="shared" si="16"/>
        <v>75</v>
      </c>
      <c r="L305">
        <f t="shared" si="17"/>
        <v>67</v>
      </c>
      <c r="M305" t="str">
        <f>IF(B305="",$Z$18,B305)</f>
        <v>South</v>
      </c>
      <c r="N305" t="str">
        <f>IF(D305="",$Z$19,D305)</f>
        <v>Clothing</v>
      </c>
      <c r="O305">
        <f>IF(H305="",$Y$24,H305)</f>
        <v>89</v>
      </c>
      <c r="P305">
        <f>IF(I305="",$Z$24,I305)</f>
        <v>336.45</v>
      </c>
      <c r="Q305">
        <f t="shared" si="18"/>
        <v>29944.05</v>
      </c>
      <c r="R305">
        <f t="shared" si="19"/>
        <v>23620.6</v>
      </c>
    </row>
    <row r="306" spans="1:18">
      <c r="A306" s="3" t="s">
        <v>351</v>
      </c>
      <c r="B306" s="4" t="s">
        <v>4</v>
      </c>
      <c r="C306" s="4" t="s">
        <v>35</v>
      </c>
      <c r="D306" s="4" t="s">
        <v>12</v>
      </c>
      <c r="E306" s="4" t="s">
        <v>32</v>
      </c>
      <c r="F306" s="4" t="s">
        <v>36</v>
      </c>
      <c r="G306" s="5">
        <v>45231</v>
      </c>
      <c r="H306" s="4">
        <v>319</v>
      </c>
      <c r="I306" s="4">
        <v>39.619999999999997</v>
      </c>
      <c r="J306" s="6">
        <v>255.75</v>
      </c>
      <c r="K306">
        <f t="shared" si="16"/>
        <v>75</v>
      </c>
      <c r="L306">
        <f t="shared" si="17"/>
        <v>61</v>
      </c>
      <c r="M306" t="str">
        <f>IF(B306="",$Z$18,B306)</f>
        <v>South</v>
      </c>
      <c r="N306" t="str">
        <f>IF(D306="",$Z$19,D306)</f>
        <v>Food</v>
      </c>
      <c r="O306">
        <f>IF(H306="",$Y$24,H306)</f>
        <v>319</v>
      </c>
      <c r="P306">
        <f>IF(I306="",$Z$24,I306)</f>
        <v>39.619999999999997</v>
      </c>
      <c r="Q306">
        <f t="shared" si="18"/>
        <v>12638.779999999999</v>
      </c>
      <c r="R306">
        <f t="shared" si="19"/>
        <v>-68945.47</v>
      </c>
    </row>
    <row r="307" spans="1:18">
      <c r="A307" s="3" t="s">
        <v>352</v>
      </c>
      <c r="B307" s="4" t="s">
        <v>3</v>
      </c>
      <c r="C307" s="4" t="s">
        <v>31</v>
      </c>
      <c r="D307" s="4" t="s">
        <v>9</v>
      </c>
      <c r="E307" s="4" t="s">
        <v>32</v>
      </c>
      <c r="F307" s="4" t="s">
        <v>41</v>
      </c>
      <c r="G307" s="5">
        <v>45232</v>
      </c>
      <c r="H307" s="4">
        <v>95</v>
      </c>
      <c r="I307" s="4">
        <v>321.88</v>
      </c>
      <c r="J307" s="6">
        <v>199.47</v>
      </c>
      <c r="K307">
        <f t="shared" si="16"/>
        <v>78</v>
      </c>
      <c r="L307">
        <f t="shared" si="17"/>
        <v>83</v>
      </c>
      <c r="M307" t="str">
        <f>IF(B307="",$Z$18,B307)</f>
        <v>North</v>
      </c>
      <c r="N307" t="str">
        <f>IF(D307="",$Z$19,D307)</f>
        <v>Beverages</v>
      </c>
      <c r="O307">
        <f>IF(H307="",$Y$24,H307)</f>
        <v>95</v>
      </c>
      <c r="P307">
        <f>IF(I307="",$Z$24,I307)</f>
        <v>321.88</v>
      </c>
      <c r="Q307">
        <f t="shared" si="18"/>
        <v>30578.6</v>
      </c>
      <c r="R307">
        <f t="shared" si="19"/>
        <v>11628.949999999997</v>
      </c>
    </row>
    <row r="308" spans="1:18">
      <c r="A308" s="3" t="s">
        <v>353</v>
      </c>
      <c r="B308" s="4" t="s">
        <v>5</v>
      </c>
      <c r="C308" s="4" t="s">
        <v>46</v>
      </c>
      <c r="D308" s="4" t="s">
        <v>9</v>
      </c>
      <c r="E308" s="4" t="s">
        <v>38</v>
      </c>
      <c r="F308" s="4" t="s">
        <v>33</v>
      </c>
      <c r="G308" s="5">
        <v>45233</v>
      </c>
      <c r="H308" s="4">
        <v>101</v>
      </c>
      <c r="I308" s="4">
        <v>139.22</v>
      </c>
      <c r="J308" s="6">
        <v>72.94</v>
      </c>
      <c r="K308">
        <f t="shared" si="16"/>
        <v>106</v>
      </c>
      <c r="L308">
        <f t="shared" si="17"/>
        <v>83</v>
      </c>
      <c r="M308" t="str">
        <f>IF(B308="",$Z$18,B308)</f>
        <v>West</v>
      </c>
      <c r="N308" t="str">
        <f>IF(D308="",$Z$19,D308)</f>
        <v>Beverages</v>
      </c>
      <c r="O308">
        <f>IF(H308="",$Y$24,H308)</f>
        <v>101</v>
      </c>
      <c r="P308">
        <f>IF(I308="",$Z$24,I308)</f>
        <v>139.22</v>
      </c>
      <c r="Q308">
        <f t="shared" si="18"/>
        <v>14061.22</v>
      </c>
      <c r="R308">
        <f t="shared" si="19"/>
        <v>6694.28</v>
      </c>
    </row>
    <row r="309" spans="1:18">
      <c r="A309" s="3" t="s">
        <v>354</v>
      </c>
      <c r="B309" s="4" t="s">
        <v>4</v>
      </c>
      <c r="C309" s="4" t="s">
        <v>65</v>
      </c>
      <c r="D309" s="4" t="s">
        <v>9</v>
      </c>
      <c r="E309" s="4" t="s">
        <v>32</v>
      </c>
      <c r="F309" s="4" t="s">
        <v>41</v>
      </c>
      <c r="G309" s="5">
        <v>45234</v>
      </c>
      <c r="H309" s="4">
        <v>157</v>
      </c>
      <c r="I309" s="4">
        <v>249.64520588235297</v>
      </c>
      <c r="J309" s="6">
        <v>274.99</v>
      </c>
      <c r="K309">
        <f t="shared" si="16"/>
        <v>75</v>
      </c>
      <c r="L309">
        <f t="shared" si="17"/>
        <v>83</v>
      </c>
      <c r="M309" t="str">
        <f>IF(B309="",$Z$18,B309)</f>
        <v>South</v>
      </c>
      <c r="N309" t="str">
        <f>IF(D309="",$Z$19,D309)</f>
        <v>Beverages</v>
      </c>
      <c r="O309">
        <f>IF(H309="",$Y$24,H309)</f>
        <v>157</v>
      </c>
      <c r="P309">
        <f>IF(I309="",$Z$24,I309)</f>
        <v>249.64520588235297</v>
      </c>
      <c r="Q309">
        <f t="shared" si="18"/>
        <v>39194.297323529419</v>
      </c>
      <c r="R309">
        <f t="shared" si="19"/>
        <v>-3979.1326764705809</v>
      </c>
    </row>
    <row r="310" spans="1:18">
      <c r="A310" s="3" t="s">
        <v>355</v>
      </c>
      <c r="B310" s="4" t="s">
        <v>5</v>
      </c>
      <c r="C310" s="4" t="s">
        <v>31</v>
      </c>
      <c r="D310" s="4" t="s">
        <v>12</v>
      </c>
      <c r="E310" s="4" t="s">
        <v>32</v>
      </c>
      <c r="F310" s="4" t="s">
        <v>33</v>
      </c>
      <c r="G310" s="5">
        <v>45235</v>
      </c>
      <c r="H310" s="4">
        <v>170</v>
      </c>
      <c r="I310" s="4">
        <v>341.67</v>
      </c>
      <c r="J310" s="6">
        <v>396.47</v>
      </c>
      <c r="K310">
        <f t="shared" si="16"/>
        <v>106</v>
      </c>
      <c r="L310">
        <f t="shared" si="17"/>
        <v>61</v>
      </c>
      <c r="M310" t="str">
        <f>IF(B310="",$Z$18,B310)</f>
        <v>West</v>
      </c>
      <c r="N310" t="str">
        <f>IF(D310="",$Z$19,D310)</f>
        <v>Food</v>
      </c>
      <c r="O310">
        <f>IF(H310="",$Y$24,H310)</f>
        <v>170</v>
      </c>
      <c r="P310">
        <f>IF(I310="",$Z$24,I310)</f>
        <v>341.67</v>
      </c>
      <c r="Q310">
        <f t="shared" si="18"/>
        <v>58083.9</v>
      </c>
      <c r="R310">
        <f t="shared" si="19"/>
        <v>-9316.0000000000073</v>
      </c>
    </row>
    <row r="311" spans="1:18">
      <c r="A311" s="3" t="s">
        <v>356</v>
      </c>
      <c r="B311" s="4" t="s">
        <v>4</v>
      </c>
      <c r="C311" s="4" t="s">
        <v>65</v>
      </c>
      <c r="D311" s="4" t="s">
        <v>11</v>
      </c>
      <c r="E311" s="4" t="s">
        <v>32</v>
      </c>
      <c r="F311" s="4" t="s">
        <v>33</v>
      </c>
      <c r="G311" s="5">
        <v>45236</v>
      </c>
      <c r="H311" s="4">
        <v>211</v>
      </c>
      <c r="I311" s="4">
        <v>119.26</v>
      </c>
      <c r="J311" s="6">
        <v>299.39</v>
      </c>
      <c r="K311">
        <f t="shared" si="16"/>
        <v>75</v>
      </c>
      <c r="L311">
        <f t="shared" si="17"/>
        <v>70</v>
      </c>
      <c r="M311" t="str">
        <f>IF(B311="",$Z$18,B311)</f>
        <v>South</v>
      </c>
      <c r="N311" t="str">
        <f>IF(D311="",$Z$19,D311)</f>
        <v>Electronics</v>
      </c>
      <c r="O311">
        <f>IF(H311="",$Y$24,H311)</f>
        <v>211</v>
      </c>
      <c r="P311">
        <f>IF(I311="",$Z$24,I311)</f>
        <v>119.26</v>
      </c>
      <c r="Q311">
        <f t="shared" si="18"/>
        <v>25163.86</v>
      </c>
      <c r="R311">
        <f t="shared" si="19"/>
        <v>-38007.429999999993</v>
      </c>
    </row>
    <row r="312" spans="1:18">
      <c r="A312" s="3" t="s">
        <v>357</v>
      </c>
      <c r="B312" s="4" t="s">
        <v>5</v>
      </c>
      <c r="C312" s="4" t="s">
        <v>35</v>
      </c>
      <c r="D312" s="4" t="s">
        <v>13</v>
      </c>
      <c r="E312" s="4" t="s">
        <v>32</v>
      </c>
      <c r="F312" s="4" t="s">
        <v>41</v>
      </c>
      <c r="G312" s="5">
        <v>45237</v>
      </c>
      <c r="H312" s="4">
        <v>433</v>
      </c>
      <c r="I312" s="4">
        <v>231.15</v>
      </c>
      <c r="J312" s="6">
        <v>296.51</v>
      </c>
      <c r="K312">
        <f t="shared" si="16"/>
        <v>106</v>
      </c>
      <c r="L312">
        <f t="shared" si="17"/>
        <v>69</v>
      </c>
      <c r="M312" t="str">
        <f>IF(B312="",$Z$18,B312)</f>
        <v>West</v>
      </c>
      <c r="N312" t="str">
        <f>IF(D312="",$Z$19,D312)</f>
        <v>Furniture</v>
      </c>
      <c r="O312">
        <f>IF(H312="",$Y$24,H312)</f>
        <v>433</v>
      </c>
      <c r="P312">
        <f>IF(I312="",$Z$24,I312)</f>
        <v>231.15</v>
      </c>
      <c r="Q312">
        <f t="shared" si="18"/>
        <v>100087.95</v>
      </c>
      <c r="R312">
        <f t="shared" si="19"/>
        <v>-28300.880000000005</v>
      </c>
    </row>
    <row r="313" spans="1:18">
      <c r="A313" s="3" t="s">
        <v>358</v>
      </c>
      <c r="B313" s="4" t="s">
        <v>2</v>
      </c>
      <c r="C313" s="4" t="s">
        <v>65</v>
      </c>
      <c r="D313" s="4" t="s">
        <v>9</v>
      </c>
      <c r="E313" s="4" t="s">
        <v>38</v>
      </c>
      <c r="F313" s="4" t="s">
        <v>36</v>
      </c>
      <c r="G313" s="5">
        <v>45238</v>
      </c>
      <c r="H313" s="4">
        <v>425</v>
      </c>
      <c r="I313" s="4">
        <v>99.21</v>
      </c>
      <c r="J313" s="6">
        <v>380.22</v>
      </c>
      <c r="K313">
        <f t="shared" si="16"/>
        <v>91</v>
      </c>
      <c r="L313">
        <f t="shared" si="17"/>
        <v>83</v>
      </c>
      <c r="M313" t="str">
        <f>IF(B313="",$Z$18,B313)</f>
        <v>East</v>
      </c>
      <c r="N313" t="str">
        <f>IF(D313="",$Z$19,D313)</f>
        <v>Beverages</v>
      </c>
      <c r="O313">
        <f>IF(H313="",$Y$24,H313)</f>
        <v>425</v>
      </c>
      <c r="P313">
        <f>IF(I313="",$Z$24,I313)</f>
        <v>99.21</v>
      </c>
      <c r="Q313">
        <f t="shared" si="18"/>
        <v>42164.25</v>
      </c>
      <c r="R313">
        <f t="shared" si="19"/>
        <v>-119429.25</v>
      </c>
    </row>
    <row r="314" spans="1:18">
      <c r="A314" s="3" t="s">
        <v>359</v>
      </c>
      <c r="B314" s="4" t="s">
        <v>5</v>
      </c>
      <c r="C314" s="4" t="s">
        <v>65</v>
      </c>
      <c r="D314" s="4" t="s">
        <v>10</v>
      </c>
      <c r="E314" s="4" t="s">
        <v>38</v>
      </c>
      <c r="F314" s="4" t="s">
        <v>41</v>
      </c>
      <c r="G314" s="5">
        <v>45239</v>
      </c>
      <c r="H314" s="4">
        <v>251</v>
      </c>
      <c r="I314" s="4">
        <v>30.91</v>
      </c>
      <c r="J314" s="6">
        <v>82.77</v>
      </c>
      <c r="K314">
        <f t="shared" si="16"/>
        <v>106</v>
      </c>
      <c r="L314">
        <f t="shared" si="17"/>
        <v>67</v>
      </c>
      <c r="M314" t="str">
        <f>IF(B314="",$Z$18,B314)</f>
        <v>West</v>
      </c>
      <c r="N314" t="str">
        <f>IF(D314="",$Z$19,D314)</f>
        <v>Clothing</v>
      </c>
      <c r="O314">
        <f>IF(H314="",$Y$24,H314)</f>
        <v>251</v>
      </c>
      <c r="P314">
        <f>IF(I314="",$Z$24,I314)</f>
        <v>30.91</v>
      </c>
      <c r="Q314">
        <f t="shared" si="18"/>
        <v>7758.41</v>
      </c>
      <c r="R314">
        <f t="shared" si="19"/>
        <v>-13016.86</v>
      </c>
    </row>
    <row r="315" spans="1:18">
      <c r="A315" s="3" t="s">
        <v>360</v>
      </c>
      <c r="B315" s="4" t="s">
        <v>2</v>
      </c>
      <c r="C315" s="4" t="s">
        <v>40</v>
      </c>
      <c r="D315" s="4" t="s">
        <v>12</v>
      </c>
      <c r="E315" s="4" t="s">
        <v>32</v>
      </c>
      <c r="F315" s="4" t="s">
        <v>33</v>
      </c>
      <c r="G315" s="5">
        <v>45240</v>
      </c>
      <c r="H315" s="4">
        <v>255.90294117647059</v>
      </c>
      <c r="I315" s="4">
        <v>192.35</v>
      </c>
      <c r="J315" s="6">
        <v>227.09</v>
      </c>
      <c r="K315">
        <f t="shared" si="16"/>
        <v>91</v>
      </c>
      <c r="L315">
        <f t="shared" si="17"/>
        <v>61</v>
      </c>
      <c r="M315" t="str">
        <f>IF(B315="",$Z$18,B315)</f>
        <v>East</v>
      </c>
      <c r="N315" t="str">
        <f>IF(D315="",$Z$19,D315)</f>
        <v>Food</v>
      </c>
      <c r="O315">
        <f>IF(H315="",$Y$24,H315)</f>
        <v>255.90294117647059</v>
      </c>
      <c r="P315">
        <f>IF(I315="",$Z$24,I315)</f>
        <v>192.35</v>
      </c>
      <c r="Q315">
        <f t="shared" si="18"/>
        <v>49222.930735294118</v>
      </c>
      <c r="R315">
        <f t="shared" si="19"/>
        <v>-8890.0681764705878</v>
      </c>
    </row>
    <row r="316" spans="1:18">
      <c r="A316" s="3" t="s">
        <v>361</v>
      </c>
      <c r="B316" s="4" t="s">
        <v>2</v>
      </c>
      <c r="C316" s="4" t="s">
        <v>40</v>
      </c>
      <c r="D316" s="4" t="s">
        <v>9</v>
      </c>
      <c r="E316" s="4" t="s">
        <v>32</v>
      </c>
      <c r="F316" s="4" t="s">
        <v>33</v>
      </c>
      <c r="G316" s="5">
        <v>45241</v>
      </c>
      <c r="H316" s="4">
        <v>11</v>
      </c>
      <c r="I316" s="4">
        <v>184.66</v>
      </c>
      <c r="J316" s="6">
        <v>391.9</v>
      </c>
      <c r="K316">
        <f t="shared" si="16"/>
        <v>91</v>
      </c>
      <c r="L316">
        <f t="shared" si="17"/>
        <v>83</v>
      </c>
      <c r="M316" t="str">
        <f>IF(B316="",$Z$18,B316)</f>
        <v>East</v>
      </c>
      <c r="N316" t="str">
        <f>IF(D316="",$Z$19,D316)</f>
        <v>Beverages</v>
      </c>
      <c r="O316">
        <f>IF(H316="",$Y$24,H316)</f>
        <v>11</v>
      </c>
      <c r="P316">
        <f>IF(I316="",$Z$24,I316)</f>
        <v>184.66</v>
      </c>
      <c r="Q316">
        <f t="shared" si="18"/>
        <v>2031.26</v>
      </c>
      <c r="R316">
        <f t="shared" si="19"/>
        <v>-2279.6399999999994</v>
      </c>
    </row>
    <row r="317" spans="1:18">
      <c r="A317" s="3" t="s">
        <v>362</v>
      </c>
      <c r="B317" s="4" t="s">
        <v>5</v>
      </c>
      <c r="C317" s="4" t="s">
        <v>40</v>
      </c>
      <c r="D317" s="4" t="s">
        <v>10</v>
      </c>
      <c r="E317" s="4" t="s">
        <v>32</v>
      </c>
      <c r="F317" s="4" t="s">
        <v>41</v>
      </c>
      <c r="G317" s="5">
        <v>45242</v>
      </c>
      <c r="H317" s="4">
        <v>234</v>
      </c>
      <c r="I317" s="4">
        <v>497.76</v>
      </c>
      <c r="J317" s="6">
        <v>67.790000000000006</v>
      </c>
      <c r="K317">
        <f t="shared" si="16"/>
        <v>106</v>
      </c>
      <c r="L317">
        <f t="shared" si="17"/>
        <v>67</v>
      </c>
      <c r="M317" t="str">
        <f>IF(B317="",$Z$18,B317)</f>
        <v>West</v>
      </c>
      <c r="N317" t="str">
        <f>IF(D317="",$Z$19,D317)</f>
        <v>Clothing</v>
      </c>
      <c r="O317">
        <f>IF(H317="",$Y$24,H317)</f>
        <v>234</v>
      </c>
      <c r="P317">
        <f>IF(I317="",$Z$24,I317)</f>
        <v>497.76</v>
      </c>
      <c r="Q317">
        <f t="shared" si="18"/>
        <v>116475.84</v>
      </c>
      <c r="R317">
        <f t="shared" si="19"/>
        <v>100612.98</v>
      </c>
    </row>
    <row r="318" spans="1:18">
      <c r="A318" s="3" t="s">
        <v>363</v>
      </c>
      <c r="B318" s="4" t="s">
        <v>2</v>
      </c>
      <c r="C318" s="4" t="s">
        <v>65</v>
      </c>
      <c r="D318" s="4" t="s">
        <v>10</v>
      </c>
      <c r="E318" s="4" t="s">
        <v>32</v>
      </c>
      <c r="F318" s="4" t="s">
        <v>36</v>
      </c>
      <c r="G318" s="5">
        <v>45243</v>
      </c>
      <c r="H318" s="4">
        <v>255.90294117647059</v>
      </c>
      <c r="I318" s="4">
        <v>225.94</v>
      </c>
      <c r="J318" s="6">
        <v>280.7</v>
      </c>
      <c r="K318">
        <f t="shared" si="16"/>
        <v>91</v>
      </c>
      <c r="L318">
        <f t="shared" si="17"/>
        <v>67</v>
      </c>
      <c r="M318" t="str">
        <f>IF(B318="",$Z$18,B318)</f>
        <v>East</v>
      </c>
      <c r="N318" t="str">
        <f>IF(D318="",$Z$19,D318)</f>
        <v>Clothing</v>
      </c>
      <c r="O318">
        <f>IF(H318="",$Y$24,H318)</f>
        <v>255.90294117647059</v>
      </c>
      <c r="P318">
        <f>IF(I318="",$Z$24,I318)</f>
        <v>225.94</v>
      </c>
      <c r="Q318">
        <f t="shared" si="18"/>
        <v>57818.710529411765</v>
      </c>
      <c r="R318">
        <f t="shared" si="19"/>
        <v>-14013.245058823522</v>
      </c>
    </row>
    <row r="319" spans="1:18">
      <c r="A319" s="3" t="s">
        <v>364</v>
      </c>
      <c r="B319" s="4" t="s">
        <v>3</v>
      </c>
      <c r="C319" s="4" t="s">
        <v>46</v>
      </c>
      <c r="D319" s="4" t="s">
        <v>11</v>
      </c>
      <c r="E319" s="4" t="s">
        <v>32</v>
      </c>
      <c r="F319" s="4" t="s">
        <v>36</v>
      </c>
      <c r="G319" s="5">
        <v>45244</v>
      </c>
      <c r="H319" s="4">
        <v>242</v>
      </c>
      <c r="I319" s="4">
        <v>170.12</v>
      </c>
      <c r="J319" s="6">
        <v>235.15</v>
      </c>
      <c r="K319">
        <f t="shared" si="16"/>
        <v>78</v>
      </c>
      <c r="L319">
        <f t="shared" si="17"/>
        <v>70</v>
      </c>
      <c r="M319" t="str">
        <f>IF(B319="",$Z$18,B319)</f>
        <v>North</v>
      </c>
      <c r="N319" t="str">
        <f>IF(D319="",$Z$19,D319)</f>
        <v>Electronics</v>
      </c>
      <c r="O319">
        <f>IF(H319="",$Y$24,H319)</f>
        <v>242</v>
      </c>
      <c r="P319">
        <f>IF(I319="",$Z$24,I319)</f>
        <v>170.12</v>
      </c>
      <c r="Q319">
        <f t="shared" si="18"/>
        <v>41169.040000000001</v>
      </c>
      <c r="R319">
        <f t="shared" si="19"/>
        <v>-15737.260000000002</v>
      </c>
    </row>
    <row r="320" spans="1:18">
      <c r="A320" s="3" t="s">
        <v>365</v>
      </c>
      <c r="B320" s="4" t="s">
        <v>2</v>
      </c>
      <c r="C320" s="4" t="s">
        <v>65</v>
      </c>
      <c r="D320" s="4" t="s">
        <v>13</v>
      </c>
      <c r="E320" s="4" t="s">
        <v>32</v>
      </c>
      <c r="F320" s="4" t="s">
        <v>33</v>
      </c>
      <c r="G320" s="5">
        <v>45245</v>
      </c>
      <c r="H320" s="4">
        <v>470</v>
      </c>
      <c r="I320" s="4">
        <v>292.33999999999997</v>
      </c>
      <c r="J320" s="6">
        <v>235.42</v>
      </c>
      <c r="K320">
        <f t="shared" si="16"/>
        <v>91</v>
      </c>
      <c r="L320">
        <f t="shared" si="17"/>
        <v>69</v>
      </c>
      <c r="M320" t="str">
        <f>IF(B320="",$Z$18,B320)</f>
        <v>East</v>
      </c>
      <c r="N320" t="str">
        <f>IF(D320="",$Z$19,D320)</f>
        <v>Furniture</v>
      </c>
      <c r="O320">
        <f>IF(H320="",$Y$24,H320)</f>
        <v>470</v>
      </c>
      <c r="P320">
        <f>IF(I320="",$Z$24,I320)</f>
        <v>292.33999999999997</v>
      </c>
      <c r="Q320">
        <f t="shared" si="18"/>
        <v>137399.79999999999</v>
      </c>
      <c r="R320">
        <f t="shared" si="19"/>
        <v>26752.399999999994</v>
      </c>
    </row>
    <row r="321" spans="1:18">
      <c r="A321" s="3" t="s">
        <v>366</v>
      </c>
      <c r="B321" s="4" t="s">
        <v>4</v>
      </c>
      <c r="C321" s="4" t="s">
        <v>46</v>
      </c>
      <c r="D321" s="4" t="s">
        <v>13</v>
      </c>
      <c r="E321" s="4" t="s">
        <v>38</v>
      </c>
      <c r="F321" s="4" t="s">
        <v>33</v>
      </c>
      <c r="G321" s="5">
        <v>45246</v>
      </c>
      <c r="H321" s="4">
        <v>423</v>
      </c>
      <c r="I321" s="4">
        <v>48.94</v>
      </c>
      <c r="J321" s="6">
        <v>279.67</v>
      </c>
      <c r="K321">
        <f t="shared" si="16"/>
        <v>75</v>
      </c>
      <c r="L321">
        <f t="shared" si="17"/>
        <v>69</v>
      </c>
      <c r="M321" t="str">
        <f>IF(B321="",$Z$18,B321)</f>
        <v>South</v>
      </c>
      <c r="N321" t="str">
        <f>IF(D321="",$Z$19,D321)</f>
        <v>Furniture</v>
      </c>
      <c r="O321">
        <f>IF(H321="",$Y$24,H321)</f>
        <v>423</v>
      </c>
      <c r="P321">
        <f>IF(I321="",$Z$24,I321)</f>
        <v>48.94</v>
      </c>
      <c r="Q321">
        <f t="shared" si="18"/>
        <v>20701.62</v>
      </c>
      <c r="R321">
        <f t="shared" si="19"/>
        <v>-97598.790000000008</v>
      </c>
    </row>
    <row r="322" spans="1:18">
      <c r="A322" s="3" t="s">
        <v>367</v>
      </c>
      <c r="B322" s="4" t="s">
        <v>5</v>
      </c>
      <c r="C322" s="4" t="s">
        <v>46</v>
      </c>
      <c r="D322" s="4" t="s">
        <v>9</v>
      </c>
      <c r="E322" s="4" t="s">
        <v>32</v>
      </c>
      <c r="F322" s="4" t="s">
        <v>36</v>
      </c>
      <c r="G322" s="5">
        <v>45247</v>
      </c>
      <c r="H322" s="4">
        <v>426</v>
      </c>
      <c r="I322" s="4">
        <v>481.02</v>
      </c>
      <c r="J322" s="6">
        <v>371.99</v>
      </c>
      <c r="K322">
        <f t="shared" si="16"/>
        <v>106</v>
      </c>
      <c r="L322">
        <f t="shared" si="17"/>
        <v>83</v>
      </c>
      <c r="M322" t="str">
        <f>IF(B322="",$Z$18,B322)</f>
        <v>West</v>
      </c>
      <c r="N322" t="str">
        <f>IF(D322="",$Z$19,D322)</f>
        <v>Beverages</v>
      </c>
      <c r="O322">
        <f>IF(H322="",$Y$24,H322)</f>
        <v>426</v>
      </c>
      <c r="P322">
        <f>IF(I322="",$Z$24,I322)</f>
        <v>481.02</v>
      </c>
      <c r="Q322">
        <f t="shared" si="18"/>
        <v>204914.52</v>
      </c>
      <c r="R322">
        <f t="shared" si="19"/>
        <v>46446.78</v>
      </c>
    </row>
    <row r="323" spans="1:18">
      <c r="A323" s="3" t="s">
        <v>368</v>
      </c>
      <c r="B323" s="4" t="s">
        <v>3</v>
      </c>
      <c r="C323" s="4" t="s">
        <v>40</v>
      </c>
      <c r="D323" s="4" t="s">
        <v>13</v>
      </c>
      <c r="E323" s="4" t="s">
        <v>38</v>
      </c>
      <c r="F323" s="4" t="s">
        <v>41</v>
      </c>
      <c r="G323" s="5">
        <v>45248</v>
      </c>
      <c r="H323" s="4">
        <v>86</v>
      </c>
      <c r="I323" s="4">
        <v>319.31</v>
      </c>
      <c r="J323" s="6">
        <v>313.47000000000003</v>
      </c>
      <c r="K323">
        <f t="shared" ref="K323:K351" si="20">IF(B323="",0,COUNTIF($B$2:$B$351,B323))</f>
        <v>78</v>
      </c>
      <c r="L323">
        <f t="shared" ref="L323:L351" si="21">IF(D323="",0,COUNTIF($D$2:$D$351,D323))</f>
        <v>69</v>
      </c>
      <c r="M323" t="str">
        <f>IF(B323="",$Z$18,B323)</f>
        <v>North</v>
      </c>
      <c r="N323" t="str">
        <f>IF(D323="",$Z$19,D323)</f>
        <v>Furniture</v>
      </c>
      <c r="O323">
        <f>IF(H323="",$Y$24,H323)</f>
        <v>86</v>
      </c>
      <c r="P323">
        <f>IF(I323="",$Z$24,I323)</f>
        <v>319.31</v>
      </c>
      <c r="Q323">
        <f t="shared" ref="Q323:Q351" si="22">H323*I323</f>
        <v>27460.66</v>
      </c>
      <c r="R323">
        <f t="shared" ref="R323:R351" si="23">Q323-(H323*J323)</f>
        <v>502.23999999999796</v>
      </c>
    </row>
    <row r="324" spans="1:18">
      <c r="A324" s="3" t="s">
        <v>369</v>
      </c>
      <c r="B324" s="4" t="s">
        <v>5</v>
      </c>
      <c r="C324" s="4" t="s">
        <v>31</v>
      </c>
      <c r="D324" s="4" t="s">
        <v>12</v>
      </c>
      <c r="E324" s="4" t="s">
        <v>38</v>
      </c>
      <c r="F324" s="4" t="s">
        <v>33</v>
      </c>
      <c r="G324" s="5">
        <v>45249</v>
      </c>
      <c r="H324" s="4">
        <v>125</v>
      </c>
      <c r="I324" s="4">
        <v>378.64</v>
      </c>
      <c r="J324" s="6">
        <v>24.34</v>
      </c>
      <c r="K324">
        <f t="shared" si="20"/>
        <v>106</v>
      </c>
      <c r="L324">
        <f t="shared" si="21"/>
        <v>61</v>
      </c>
      <c r="M324" t="str">
        <f>IF(B324="",$Z$18,B324)</f>
        <v>West</v>
      </c>
      <c r="N324" t="str">
        <f>IF(D324="",$Z$19,D324)</f>
        <v>Food</v>
      </c>
      <c r="O324">
        <f>IF(H324="",$Y$24,H324)</f>
        <v>125</v>
      </c>
      <c r="P324">
        <f>IF(I324="",$Z$24,I324)</f>
        <v>378.64</v>
      </c>
      <c r="Q324">
        <f t="shared" si="22"/>
        <v>47330</v>
      </c>
      <c r="R324">
        <f t="shared" si="23"/>
        <v>44287.5</v>
      </c>
    </row>
    <row r="325" spans="1:18">
      <c r="A325" s="3" t="s">
        <v>370</v>
      </c>
      <c r="B325" s="4" t="s">
        <v>4</v>
      </c>
      <c r="C325" s="4" t="s">
        <v>35</v>
      </c>
      <c r="D325" s="4" t="s">
        <v>9</v>
      </c>
      <c r="E325" s="4" t="s">
        <v>32</v>
      </c>
      <c r="F325" s="4" t="s">
        <v>33</v>
      </c>
      <c r="G325" s="5">
        <v>45250</v>
      </c>
      <c r="H325" s="4">
        <v>163</v>
      </c>
      <c r="I325" s="4">
        <v>89.39</v>
      </c>
      <c r="J325" s="6">
        <v>341.39</v>
      </c>
      <c r="K325">
        <f t="shared" si="20"/>
        <v>75</v>
      </c>
      <c r="L325">
        <f t="shared" si="21"/>
        <v>83</v>
      </c>
      <c r="M325" t="str">
        <f>IF(B325="",$Z$18,B325)</f>
        <v>South</v>
      </c>
      <c r="N325" t="str">
        <f>IF(D325="",$Z$19,D325)</f>
        <v>Beverages</v>
      </c>
      <c r="O325">
        <f>IF(H325="",$Y$24,H325)</f>
        <v>163</v>
      </c>
      <c r="P325">
        <f>IF(I325="",$Z$24,I325)</f>
        <v>89.39</v>
      </c>
      <c r="Q325">
        <f t="shared" si="22"/>
        <v>14570.57</v>
      </c>
      <c r="R325">
        <f t="shared" si="23"/>
        <v>-41076</v>
      </c>
    </row>
    <row r="326" spans="1:18">
      <c r="A326" s="3" t="s">
        <v>371</v>
      </c>
      <c r="B326" s="4" t="s">
        <v>4</v>
      </c>
      <c r="C326" s="4" t="s">
        <v>40</v>
      </c>
      <c r="D326" s="4" t="s">
        <v>9</v>
      </c>
      <c r="E326" s="4" t="s">
        <v>38</v>
      </c>
      <c r="F326" s="4" t="s">
        <v>36</v>
      </c>
      <c r="G326" s="5">
        <v>45251</v>
      </c>
      <c r="H326" s="4">
        <v>415</v>
      </c>
      <c r="I326" s="4">
        <v>207.69</v>
      </c>
      <c r="J326" s="6">
        <v>91.77</v>
      </c>
      <c r="K326">
        <f t="shared" si="20"/>
        <v>75</v>
      </c>
      <c r="L326">
        <f t="shared" si="21"/>
        <v>83</v>
      </c>
      <c r="M326" t="str">
        <f>IF(B326="",$Z$18,B326)</f>
        <v>South</v>
      </c>
      <c r="N326" t="str">
        <f>IF(D326="",$Z$19,D326)</f>
        <v>Beverages</v>
      </c>
      <c r="O326">
        <f>IF(H326="",$Y$24,H326)</f>
        <v>415</v>
      </c>
      <c r="P326">
        <f>IF(I326="",$Z$24,I326)</f>
        <v>207.69</v>
      </c>
      <c r="Q326">
        <f t="shared" si="22"/>
        <v>86191.35</v>
      </c>
      <c r="R326">
        <f t="shared" si="23"/>
        <v>48106.80000000001</v>
      </c>
    </row>
    <row r="327" spans="1:18">
      <c r="A327" s="3" t="s">
        <v>372</v>
      </c>
      <c r="B327" s="4" t="s">
        <v>4</v>
      </c>
      <c r="C327" s="4" t="s">
        <v>40</v>
      </c>
      <c r="D327" s="4" t="s">
        <v>13</v>
      </c>
      <c r="E327" s="4" t="s">
        <v>38</v>
      </c>
      <c r="F327" s="4" t="s">
        <v>41</v>
      </c>
      <c r="G327" s="5">
        <v>45252</v>
      </c>
      <c r="H327" s="4">
        <v>112</v>
      </c>
      <c r="I327" s="4">
        <v>214.23</v>
      </c>
      <c r="J327" s="6">
        <v>152.01</v>
      </c>
      <c r="K327">
        <f t="shared" si="20"/>
        <v>75</v>
      </c>
      <c r="L327">
        <f t="shared" si="21"/>
        <v>69</v>
      </c>
      <c r="M327" t="str">
        <f>IF(B327="",$Z$18,B327)</f>
        <v>South</v>
      </c>
      <c r="N327" t="str">
        <f>IF(D327="",$Z$19,D327)</f>
        <v>Furniture</v>
      </c>
      <c r="O327">
        <f>IF(H327="",$Y$24,H327)</f>
        <v>112</v>
      </c>
      <c r="P327">
        <f>IF(I327="",$Z$24,I327)</f>
        <v>214.23</v>
      </c>
      <c r="Q327">
        <f t="shared" si="22"/>
        <v>23993.759999999998</v>
      </c>
      <c r="R327">
        <f t="shared" si="23"/>
        <v>6968.6399999999994</v>
      </c>
    </row>
    <row r="328" spans="1:18">
      <c r="A328" s="3" t="s">
        <v>373</v>
      </c>
      <c r="B328" s="4" t="s">
        <v>2</v>
      </c>
      <c r="C328" s="4" t="s">
        <v>31</v>
      </c>
      <c r="D328" s="4" t="s">
        <v>12</v>
      </c>
      <c r="E328" s="4" t="s">
        <v>38</v>
      </c>
      <c r="F328" s="4" t="s">
        <v>36</v>
      </c>
      <c r="G328" s="5">
        <v>45253</v>
      </c>
      <c r="H328" s="4">
        <v>203</v>
      </c>
      <c r="I328" s="4">
        <v>411.79</v>
      </c>
      <c r="J328" s="6">
        <v>185.77</v>
      </c>
      <c r="K328">
        <f t="shared" si="20"/>
        <v>91</v>
      </c>
      <c r="L328">
        <f t="shared" si="21"/>
        <v>61</v>
      </c>
      <c r="M328" t="str">
        <f>IF(B328="",$Z$18,B328)</f>
        <v>East</v>
      </c>
      <c r="N328" t="str">
        <f>IF(D328="",$Z$19,D328)</f>
        <v>Food</v>
      </c>
      <c r="O328">
        <f>IF(H328="",$Y$24,H328)</f>
        <v>203</v>
      </c>
      <c r="P328">
        <f>IF(I328="",$Z$24,I328)</f>
        <v>411.79</v>
      </c>
      <c r="Q328">
        <f t="shared" si="22"/>
        <v>83593.37000000001</v>
      </c>
      <c r="R328">
        <f t="shared" si="23"/>
        <v>45882.060000000005</v>
      </c>
    </row>
    <row r="329" spans="1:18">
      <c r="A329" s="3" t="s">
        <v>374</v>
      </c>
      <c r="B329" s="4" t="s">
        <v>2</v>
      </c>
      <c r="C329" s="4" t="s">
        <v>35</v>
      </c>
      <c r="D329" s="4" t="s">
        <v>11</v>
      </c>
      <c r="E329" s="4" t="s">
        <v>38</v>
      </c>
      <c r="F329" s="4" t="s">
        <v>41</v>
      </c>
      <c r="G329" s="5">
        <v>45254</v>
      </c>
      <c r="H329" s="4">
        <v>255.90294117647059</v>
      </c>
      <c r="I329" s="4">
        <v>5.61</v>
      </c>
      <c r="J329" s="6">
        <v>193.4</v>
      </c>
      <c r="K329">
        <f t="shared" si="20"/>
        <v>91</v>
      </c>
      <c r="L329">
        <f t="shared" si="21"/>
        <v>70</v>
      </c>
      <c r="M329" t="str">
        <f>IF(B329="",$Z$18,B329)</f>
        <v>East</v>
      </c>
      <c r="N329" t="str">
        <f>IF(D329="",$Z$19,D329)</f>
        <v>Electronics</v>
      </c>
      <c r="O329">
        <f>IF(H329="",$Y$24,H329)</f>
        <v>255.90294117647059</v>
      </c>
      <c r="P329">
        <f>IF(I329="",$Z$24,I329)</f>
        <v>5.61</v>
      </c>
      <c r="Q329">
        <f t="shared" si="22"/>
        <v>1435.6155000000001</v>
      </c>
      <c r="R329">
        <f t="shared" si="23"/>
        <v>-48056.013323529412</v>
      </c>
    </row>
    <row r="330" spans="1:18">
      <c r="A330" s="3" t="s">
        <v>375</v>
      </c>
      <c r="B330" s="4" t="s">
        <v>5</v>
      </c>
      <c r="C330" s="4" t="s">
        <v>65</v>
      </c>
      <c r="D330" s="4" t="s">
        <v>9</v>
      </c>
      <c r="E330" s="4" t="s">
        <v>38</v>
      </c>
      <c r="F330" s="4" t="s">
        <v>41</v>
      </c>
      <c r="G330" s="5">
        <v>45255</v>
      </c>
      <c r="H330" s="4">
        <v>368</v>
      </c>
      <c r="I330" s="4">
        <v>153.91999999999999</v>
      </c>
      <c r="J330" s="6">
        <v>175.2</v>
      </c>
      <c r="K330">
        <f t="shared" si="20"/>
        <v>106</v>
      </c>
      <c r="L330">
        <f t="shared" si="21"/>
        <v>83</v>
      </c>
      <c r="M330" t="str">
        <f>IF(B330="",$Z$18,B330)</f>
        <v>West</v>
      </c>
      <c r="N330" t="str">
        <f>IF(D330="",$Z$19,D330)</f>
        <v>Beverages</v>
      </c>
      <c r="O330">
        <f>IF(H330="",$Y$24,H330)</f>
        <v>368</v>
      </c>
      <c r="P330">
        <f>IF(I330="",$Z$24,I330)</f>
        <v>153.91999999999999</v>
      </c>
      <c r="Q330">
        <f t="shared" si="22"/>
        <v>56642.559999999998</v>
      </c>
      <c r="R330">
        <f t="shared" si="23"/>
        <v>-7831.0400000000009</v>
      </c>
    </row>
    <row r="331" spans="1:18">
      <c r="A331" s="3" t="s">
        <v>376</v>
      </c>
      <c r="B331" s="4" t="s">
        <v>5</v>
      </c>
      <c r="C331" s="4" t="s">
        <v>65</v>
      </c>
      <c r="D331" s="4" t="s">
        <v>11</v>
      </c>
      <c r="E331" s="4" t="s">
        <v>38</v>
      </c>
      <c r="F331" s="4" t="s">
        <v>41</v>
      </c>
      <c r="G331" s="5">
        <v>45256</v>
      </c>
      <c r="H331" s="4">
        <v>99</v>
      </c>
      <c r="I331" s="4">
        <v>490.71</v>
      </c>
      <c r="J331" s="6">
        <v>375.07</v>
      </c>
      <c r="K331">
        <f t="shared" si="20"/>
        <v>106</v>
      </c>
      <c r="L331">
        <f t="shared" si="21"/>
        <v>70</v>
      </c>
      <c r="M331" t="str">
        <f>IF(B331="",$Z$18,B331)</f>
        <v>West</v>
      </c>
      <c r="N331" t="str">
        <f>IF(D331="",$Z$19,D331)</f>
        <v>Electronics</v>
      </c>
      <c r="O331">
        <f>IF(H331="",$Y$24,H331)</f>
        <v>99</v>
      </c>
      <c r="P331">
        <f>IF(I331="",$Z$24,I331)</f>
        <v>490.71</v>
      </c>
      <c r="Q331">
        <f t="shared" si="22"/>
        <v>48580.29</v>
      </c>
      <c r="R331">
        <f t="shared" si="23"/>
        <v>11448.36</v>
      </c>
    </row>
    <row r="332" spans="1:18">
      <c r="A332" s="3" t="s">
        <v>377</v>
      </c>
      <c r="B332" s="4" t="s">
        <v>3</v>
      </c>
      <c r="C332" s="4" t="s">
        <v>40</v>
      </c>
      <c r="D332" s="4" t="s">
        <v>11</v>
      </c>
      <c r="E332" s="4" t="s">
        <v>32</v>
      </c>
      <c r="F332" s="4" t="s">
        <v>33</v>
      </c>
      <c r="G332" s="5">
        <v>45257</v>
      </c>
      <c r="H332" s="4">
        <v>183</v>
      </c>
      <c r="I332" s="4">
        <v>240.07</v>
      </c>
      <c r="J332" s="6">
        <v>283</v>
      </c>
      <c r="K332">
        <f t="shared" si="20"/>
        <v>78</v>
      </c>
      <c r="L332">
        <f t="shared" si="21"/>
        <v>70</v>
      </c>
      <c r="M332" t="str">
        <f>IF(B332="",$Z$18,B332)</f>
        <v>North</v>
      </c>
      <c r="N332" t="str">
        <f>IF(D332="",$Z$19,D332)</f>
        <v>Electronics</v>
      </c>
      <c r="O332">
        <f>IF(H332="",$Y$24,H332)</f>
        <v>183</v>
      </c>
      <c r="P332">
        <f>IF(I332="",$Z$24,I332)</f>
        <v>240.07</v>
      </c>
      <c r="Q332">
        <f t="shared" si="22"/>
        <v>43932.81</v>
      </c>
      <c r="R332">
        <f t="shared" si="23"/>
        <v>-7856.1900000000023</v>
      </c>
    </row>
    <row r="333" spans="1:18">
      <c r="A333" s="3" t="s">
        <v>378</v>
      </c>
      <c r="B333" s="4" t="s">
        <v>5</v>
      </c>
      <c r="C333" s="4" t="s">
        <v>35</v>
      </c>
      <c r="D333" s="4" t="s">
        <v>11</v>
      </c>
      <c r="E333" s="4" t="s">
        <v>38</v>
      </c>
      <c r="F333" s="4" t="s">
        <v>36</v>
      </c>
      <c r="G333" s="5">
        <v>45258</v>
      </c>
      <c r="H333" s="4">
        <v>131</v>
      </c>
      <c r="I333" s="4">
        <v>194.35</v>
      </c>
      <c r="J333" s="6">
        <v>253.21</v>
      </c>
      <c r="K333">
        <f t="shared" si="20"/>
        <v>106</v>
      </c>
      <c r="L333">
        <f t="shared" si="21"/>
        <v>70</v>
      </c>
      <c r="M333" t="str">
        <f>IF(B333="",$Z$18,B333)</f>
        <v>West</v>
      </c>
      <c r="N333" t="str">
        <f>IF(D333="",$Z$19,D333)</f>
        <v>Electronics</v>
      </c>
      <c r="O333">
        <f>IF(H333="",$Y$24,H333)</f>
        <v>131</v>
      </c>
      <c r="P333">
        <f>IF(I333="",$Z$24,I333)</f>
        <v>194.35</v>
      </c>
      <c r="Q333">
        <f t="shared" si="22"/>
        <v>25459.85</v>
      </c>
      <c r="R333">
        <f t="shared" si="23"/>
        <v>-7710.6600000000035</v>
      </c>
    </row>
    <row r="334" spans="1:18">
      <c r="A334" s="3" t="s">
        <v>379</v>
      </c>
      <c r="B334" s="4" t="s">
        <v>5</v>
      </c>
      <c r="C334" s="4" t="s">
        <v>40</v>
      </c>
      <c r="D334" s="4" t="s">
        <v>10</v>
      </c>
      <c r="E334" s="4" t="s">
        <v>38</v>
      </c>
      <c r="F334" s="4" t="s">
        <v>36</v>
      </c>
      <c r="G334" s="5">
        <v>45259</v>
      </c>
      <c r="H334" s="4">
        <v>152</v>
      </c>
      <c r="I334" s="4">
        <v>64.319999999999993</v>
      </c>
      <c r="J334" s="6">
        <v>21.84</v>
      </c>
      <c r="K334">
        <f t="shared" si="20"/>
        <v>106</v>
      </c>
      <c r="L334">
        <f t="shared" si="21"/>
        <v>67</v>
      </c>
      <c r="M334" t="str">
        <f>IF(B334="",$Z$18,B334)</f>
        <v>West</v>
      </c>
      <c r="N334" t="str">
        <f>IF(D334="",$Z$19,D334)</f>
        <v>Clothing</v>
      </c>
      <c r="O334">
        <f>IF(H334="",$Y$24,H334)</f>
        <v>152</v>
      </c>
      <c r="P334">
        <f>IF(I334="",$Z$24,I334)</f>
        <v>64.319999999999993</v>
      </c>
      <c r="Q334">
        <f t="shared" si="22"/>
        <v>9776.64</v>
      </c>
      <c r="R334">
        <f t="shared" si="23"/>
        <v>6456.9599999999991</v>
      </c>
    </row>
    <row r="335" spans="1:18">
      <c r="A335" s="3" t="s">
        <v>380</v>
      </c>
      <c r="B335" s="4" t="s">
        <v>2</v>
      </c>
      <c r="C335" s="4" t="s">
        <v>46</v>
      </c>
      <c r="D335" s="4" t="s">
        <v>10</v>
      </c>
      <c r="E335" s="4" t="s">
        <v>38</v>
      </c>
      <c r="F335" s="4" t="s">
        <v>41</v>
      </c>
      <c r="G335" s="5">
        <v>45260</v>
      </c>
      <c r="H335" s="4">
        <v>491</v>
      </c>
      <c r="I335" s="4">
        <v>487.21</v>
      </c>
      <c r="J335" s="6">
        <v>361.76</v>
      </c>
      <c r="K335">
        <f t="shared" si="20"/>
        <v>91</v>
      </c>
      <c r="L335">
        <f t="shared" si="21"/>
        <v>67</v>
      </c>
      <c r="M335" t="str">
        <f>IF(B335="",$Z$18,B335)</f>
        <v>East</v>
      </c>
      <c r="N335" t="str">
        <f>IF(D335="",$Z$19,D335)</f>
        <v>Clothing</v>
      </c>
      <c r="O335">
        <f>IF(H335="",$Y$24,H335)</f>
        <v>491</v>
      </c>
      <c r="P335">
        <f>IF(I335="",$Z$24,I335)</f>
        <v>487.21</v>
      </c>
      <c r="Q335">
        <f t="shared" si="22"/>
        <v>239220.11</v>
      </c>
      <c r="R335">
        <f t="shared" si="23"/>
        <v>61595.949999999983</v>
      </c>
    </row>
    <row r="336" spans="1:18">
      <c r="A336" s="3" t="s">
        <v>381</v>
      </c>
      <c r="B336" s="4" t="s">
        <v>4</v>
      </c>
      <c r="C336" s="4" t="s">
        <v>40</v>
      </c>
      <c r="D336" s="4" t="s">
        <v>11</v>
      </c>
      <c r="E336" s="4" t="s">
        <v>32</v>
      </c>
      <c r="F336" s="4" t="s">
        <v>33</v>
      </c>
      <c r="G336" s="5">
        <v>45261</v>
      </c>
      <c r="H336" s="4">
        <v>115</v>
      </c>
      <c r="I336" s="4">
        <v>14.91</v>
      </c>
      <c r="J336" s="6">
        <v>363.94</v>
      </c>
      <c r="K336">
        <f t="shared" si="20"/>
        <v>75</v>
      </c>
      <c r="L336">
        <f t="shared" si="21"/>
        <v>70</v>
      </c>
      <c r="M336" t="str">
        <f>IF(B336="",$Z$18,B336)</f>
        <v>South</v>
      </c>
      <c r="N336" t="str">
        <f>IF(D336="",$Z$19,D336)</f>
        <v>Electronics</v>
      </c>
      <c r="O336">
        <f>IF(H336="",$Y$24,H336)</f>
        <v>115</v>
      </c>
      <c r="P336">
        <f>IF(I336="",$Z$24,I336)</f>
        <v>14.91</v>
      </c>
      <c r="Q336">
        <f t="shared" si="22"/>
        <v>1714.65</v>
      </c>
      <c r="R336">
        <f t="shared" si="23"/>
        <v>-40138.449999999997</v>
      </c>
    </row>
    <row r="337" spans="1:18">
      <c r="A337" s="3" t="s">
        <v>382</v>
      </c>
      <c r="B337" s="4" t="s">
        <v>5</v>
      </c>
      <c r="C337" s="4" t="s">
        <v>40</v>
      </c>
      <c r="D337" s="4" t="s">
        <v>9</v>
      </c>
      <c r="E337" s="4" t="s">
        <v>38</v>
      </c>
      <c r="F337" s="4" t="s">
        <v>33</v>
      </c>
      <c r="G337" s="5">
        <v>45262</v>
      </c>
      <c r="H337" s="4">
        <v>384</v>
      </c>
      <c r="I337" s="4">
        <v>369.9</v>
      </c>
      <c r="J337" s="6">
        <v>312.52</v>
      </c>
      <c r="K337">
        <f t="shared" si="20"/>
        <v>106</v>
      </c>
      <c r="L337">
        <f t="shared" si="21"/>
        <v>83</v>
      </c>
      <c r="M337" t="str">
        <f>IF(B337="",$Z$18,B337)</f>
        <v>West</v>
      </c>
      <c r="N337" t="str">
        <f>IF(D337="",$Z$19,D337)</f>
        <v>Beverages</v>
      </c>
      <c r="O337">
        <f>IF(H337="",$Y$24,H337)</f>
        <v>384</v>
      </c>
      <c r="P337">
        <f>IF(I337="",$Z$24,I337)</f>
        <v>369.9</v>
      </c>
      <c r="Q337">
        <f t="shared" si="22"/>
        <v>142041.59999999998</v>
      </c>
      <c r="R337">
        <f t="shared" si="23"/>
        <v>22033.919999999984</v>
      </c>
    </row>
    <row r="338" spans="1:18">
      <c r="A338" s="3" t="s">
        <v>383</v>
      </c>
      <c r="B338" s="4" t="s">
        <v>3</v>
      </c>
      <c r="C338" s="4" t="s">
        <v>65</v>
      </c>
      <c r="D338" s="4" t="s">
        <v>12</v>
      </c>
      <c r="E338" s="4" t="s">
        <v>32</v>
      </c>
      <c r="F338" s="4" t="s">
        <v>36</v>
      </c>
      <c r="G338" s="5">
        <v>45263</v>
      </c>
      <c r="H338" s="4">
        <v>437</v>
      </c>
      <c r="I338" s="4">
        <v>385.46</v>
      </c>
      <c r="J338" s="6">
        <v>4.8</v>
      </c>
      <c r="K338">
        <f t="shared" si="20"/>
        <v>78</v>
      </c>
      <c r="L338">
        <f t="shared" si="21"/>
        <v>61</v>
      </c>
      <c r="M338" t="str">
        <f>IF(B338="",$Z$18,B338)</f>
        <v>North</v>
      </c>
      <c r="N338" t="str">
        <f>IF(D338="",$Z$19,D338)</f>
        <v>Food</v>
      </c>
      <c r="O338">
        <f>IF(H338="",$Y$24,H338)</f>
        <v>437</v>
      </c>
      <c r="P338">
        <f>IF(I338="",$Z$24,I338)</f>
        <v>385.46</v>
      </c>
      <c r="Q338">
        <f t="shared" si="22"/>
        <v>168446.02</v>
      </c>
      <c r="R338">
        <f t="shared" si="23"/>
        <v>166348.41999999998</v>
      </c>
    </row>
    <row r="339" spans="1:18">
      <c r="A339" s="3" t="s">
        <v>384</v>
      </c>
      <c r="B339" s="4" t="s">
        <v>2</v>
      </c>
      <c r="C339" s="4" t="s">
        <v>65</v>
      </c>
      <c r="D339" s="4" t="s">
        <v>12</v>
      </c>
      <c r="E339" s="4" t="s">
        <v>38</v>
      </c>
      <c r="F339" s="4" t="s">
        <v>33</v>
      </c>
      <c r="G339" s="5">
        <v>45264</v>
      </c>
      <c r="H339" s="4">
        <v>314</v>
      </c>
      <c r="I339" s="4">
        <v>125.61</v>
      </c>
      <c r="J339" s="6">
        <v>24.8</v>
      </c>
      <c r="K339">
        <f t="shared" si="20"/>
        <v>91</v>
      </c>
      <c r="L339">
        <f t="shared" si="21"/>
        <v>61</v>
      </c>
      <c r="M339" t="str">
        <f>IF(B339="",$Z$18,B339)</f>
        <v>East</v>
      </c>
      <c r="N339" t="str">
        <f>IF(D339="",$Z$19,D339)</f>
        <v>Food</v>
      </c>
      <c r="O339">
        <f>IF(H339="",$Y$24,H339)</f>
        <v>314</v>
      </c>
      <c r="P339">
        <f>IF(I339="",$Z$24,I339)</f>
        <v>125.61</v>
      </c>
      <c r="Q339">
        <f t="shared" si="22"/>
        <v>39441.54</v>
      </c>
      <c r="R339">
        <f t="shared" si="23"/>
        <v>31654.34</v>
      </c>
    </row>
    <row r="340" spans="1:18">
      <c r="A340" s="3" t="s">
        <v>385</v>
      </c>
      <c r="B340" s="4" t="s">
        <v>5</v>
      </c>
      <c r="C340" s="4" t="s">
        <v>65</v>
      </c>
      <c r="D340" s="4" t="s">
        <v>13</v>
      </c>
      <c r="E340" s="4" t="s">
        <v>32</v>
      </c>
      <c r="F340" s="4" t="s">
        <v>33</v>
      </c>
      <c r="G340" s="5">
        <v>45265</v>
      </c>
      <c r="H340" s="4">
        <v>369</v>
      </c>
      <c r="I340" s="4">
        <v>337.42</v>
      </c>
      <c r="J340" s="6">
        <v>91.64</v>
      </c>
      <c r="K340">
        <f t="shared" si="20"/>
        <v>106</v>
      </c>
      <c r="L340">
        <f t="shared" si="21"/>
        <v>69</v>
      </c>
      <c r="M340" t="str">
        <f>IF(B340="",$Z$18,B340)</f>
        <v>West</v>
      </c>
      <c r="N340" t="str">
        <f>IF(D340="",$Z$19,D340)</f>
        <v>Furniture</v>
      </c>
      <c r="O340">
        <f>IF(H340="",$Y$24,H340)</f>
        <v>369</v>
      </c>
      <c r="P340">
        <f>IF(I340="",$Z$24,I340)</f>
        <v>337.42</v>
      </c>
      <c r="Q340">
        <f t="shared" si="22"/>
        <v>124507.98000000001</v>
      </c>
      <c r="R340">
        <f t="shared" si="23"/>
        <v>90692.82</v>
      </c>
    </row>
    <row r="341" spans="1:18">
      <c r="A341" s="3" t="s">
        <v>386</v>
      </c>
      <c r="B341" s="4" t="s">
        <v>5</v>
      </c>
      <c r="C341" s="4" t="s">
        <v>46</v>
      </c>
      <c r="D341" s="4" t="s">
        <v>9</v>
      </c>
      <c r="E341" s="4" t="s">
        <v>32</v>
      </c>
      <c r="F341" s="4" t="s">
        <v>41</v>
      </c>
      <c r="G341" s="5">
        <v>45266</v>
      </c>
      <c r="H341" s="4">
        <v>468</v>
      </c>
      <c r="I341" s="4">
        <v>51</v>
      </c>
      <c r="J341" s="6">
        <v>54.28</v>
      </c>
      <c r="K341">
        <f t="shared" si="20"/>
        <v>106</v>
      </c>
      <c r="L341">
        <f t="shared" si="21"/>
        <v>83</v>
      </c>
      <c r="M341" t="str">
        <f>IF(B341="",$Z$18,B341)</f>
        <v>West</v>
      </c>
      <c r="N341" t="str">
        <f>IF(D341="",$Z$19,D341)</f>
        <v>Beverages</v>
      </c>
      <c r="O341">
        <f>IF(H341="",$Y$24,H341)</f>
        <v>468</v>
      </c>
      <c r="P341">
        <f>IF(I341="",$Z$24,I341)</f>
        <v>51</v>
      </c>
      <c r="Q341">
        <f t="shared" si="22"/>
        <v>23868</v>
      </c>
      <c r="R341">
        <f t="shared" si="23"/>
        <v>-1535.0400000000009</v>
      </c>
    </row>
    <row r="342" spans="1:18">
      <c r="A342" s="3" t="s">
        <v>387</v>
      </c>
      <c r="B342" s="4" t="s">
        <v>2</v>
      </c>
      <c r="C342" s="4" t="s">
        <v>65</v>
      </c>
      <c r="D342" s="4" t="s">
        <v>10</v>
      </c>
      <c r="E342" s="4" t="s">
        <v>38</v>
      </c>
      <c r="F342" s="4" t="s">
        <v>33</v>
      </c>
      <c r="G342" s="5">
        <v>45267</v>
      </c>
      <c r="H342" s="4">
        <v>326</v>
      </c>
      <c r="I342" s="4">
        <v>132.24</v>
      </c>
      <c r="J342" s="6">
        <v>160.74</v>
      </c>
      <c r="K342">
        <f t="shared" si="20"/>
        <v>91</v>
      </c>
      <c r="L342">
        <f t="shared" si="21"/>
        <v>67</v>
      </c>
      <c r="M342" t="str">
        <f>IF(B342="",$Z$18,B342)</f>
        <v>East</v>
      </c>
      <c r="N342" t="str">
        <f>IF(D342="",$Z$19,D342)</f>
        <v>Clothing</v>
      </c>
      <c r="O342">
        <f>IF(H342="",$Y$24,H342)</f>
        <v>326</v>
      </c>
      <c r="P342">
        <f>IF(I342="",$Z$24,I342)</f>
        <v>132.24</v>
      </c>
      <c r="Q342">
        <f t="shared" si="22"/>
        <v>43110.240000000005</v>
      </c>
      <c r="R342">
        <f t="shared" si="23"/>
        <v>-9291</v>
      </c>
    </row>
    <row r="343" spans="1:18">
      <c r="A343" s="3" t="s">
        <v>388</v>
      </c>
      <c r="B343" s="4" t="s">
        <v>5</v>
      </c>
      <c r="C343" s="4" t="s">
        <v>35</v>
      </c>
      <c r="D343" s="4" t="s">
        <v>11</v>
      </c>
      <c r="E343" s="4" t="s">
        <v>38</v>
      </c>
      <c r="F343" s="4" t="s">
        <v>41</v>
      </c>
      <c r="G343" s="5">
        <v>45268</v>
      </c>
      <c r="H343" s="4">
        <v>460</v>
      </c>
      <c r="I343" s="4">
        <v>395.01</v>
      </c>
      <c r="J343" s="6">
        <v>369.2</v>
      </c>
      <c r="K343">
        <f t="shared" si="20"/>
        <v>106</v>
      </c>
      <c r="L343">
        <f t="shared" si="21"/>
        <v>70</v>
      </c>
      <c r="M343" t="str">
        <f>IF(B343="",$Z$18,B343)</f>
        <v>West</v>
      </c>
      <c r="N343" t="str">
        <f>IF(D343="",$Z$19,D343)</f>
        <v>Electronics</v>
      </c>
      <c r="O343">
        <f>IF(H343="",$Y$24,H343)</f>
        <v>460</v>
      </c>
      <c r="P343">
        <f>IF(I343="",$Z$24,I343)</f>
        <v>395.01</v>
      </c>
      <c r="Q343">
        <f t="shared" si="22"/>
        <v>181704.6</v>
      </c>
      <c r="R343">
        <f t="shared" si="23"/>
        <v>11872.600000000006</v>
      </c>
    </row>
    <row r="344" spans="1:18">
      <c r="A344" s="3" t="s">
        <v>389</v>
      </c>
      <c r="B344" s="4" t="s">
        <v>2</v>
      </c>
      <c r="C344" s="4" t="s">
        <v>31</v>
      </c>
      <c r="D344" s="4" t="s">
        <v>13</v>
      </c>
      <c r="E344" s="4" t="s">
        <v>32</v>
      </c>
      <c r="F344" s="4" t="s">
        <v>36</v>
      </c>
      <c r="G344" s="5">
        <v>45269</v>
      </c>
      <c r="H344" s="4">
        <v>132</v>
      </c>
      <c r="I344" s="4">
        <v>433.02</v>
      </c>
      <c r="J344" s="6">
        <v>189.88</v>
      </c>
      <c r="K344">
        <f t="shared" si="20"/>
        <v>91</v>
      </c>
      <c r="L344">
        <f t="shared" si="21"/>
        <v>69</v>
      </c>
      <c r="M344" t="str">
        <f>IF(B344="",$Z$18,B344)</f>
        <v>East</v>
      </c>
      <c r="N344" t="str">
        <f>IF(D344="",$Z$19,D344)</f>
        <v>Furniture</v>
      </c>
      <c r="O344">
        <f>IF(H344="",$Y$24,H344)</f>
        <v>132</v>
      </c>
      <c r="P344">
        <f>IF(I344="",$Z$24,I344)</f>
        <v>433.02</v>
      </c>
      <c r="Q344">
        <f t="shared" si="22"/>
        <v>57158.64</v>
      </c>
      <c r="R344">
        <f t="shared" si="23"/>
        <v>32094.48</v>
      </c>
    </row>
    <row r="345" spans="1:18">
      <c r="A345" s="3" t="s">
        <v>390</v>
      </c>
      <c r="B345" s="4" t="s">
        <v>4</v>
      </c>
      <c r="C345" s="4" t="s">
        <v>35</v>
      </c>
      <c r="D345" s="4" t="s">
        <v>12</v>
      </c>
      <c r="E345" s="4" t="s">
        <v>38</v>
      </c>
      <c r="F345" s="4" t="s">
        <v>33</v>
      </c>
      <c r="G345" s="5">
        <v>45270</v>
      </c>
      <c r="H345" s="4">
        <v>399</v>
      </c>
      <c r="I345" s="4">
        <v>306.2</v>
      </c>
      <c r="J345" s="6">
        <v>7.33</v>
      </c>
      <c r="K345">
        <f t="shared" si="20"/>
        <v>75</v>
      </c>
      <c r="L345">
        <f t="shared" si="21"/>
        <v>61</v>
      </c>
      <c r="M345" t="str">
        <f>IF(B345="",$Z$18,B345)</f>
        <v>South</v>
      </c>
      <c r="N345" t="str">
        <f>IF(D345="",$Z$19,D345)</f>
        <v>Food</v>
      </c>
      <c r="O345">
        <f>IF(H345="",$Y$24,H345)</f>
        <v>399</v>
      </c>
      <c r="P345">
        <f>IF(I345="",$Z$24,I345)</f>
        <v>306.2</v>
      </c>
      <c r="Q345">
        <f t="shared" si="22"/>
        <v>122173.79999999999</v>
      </c>
      <c r="R345">
        <f t="shared" si="23"/>
        <v>119249.12999999999</v>
      </c>
    </row>
    <row r="346" spans="1:18">
      <c r="A346" s="3" t="s">
        <v>391</v>
      </c>
      <c r="B346" s="4" t="s">
        <v>2</v>
      </c>
      <c r="C346" s="4" t="s">
        <v>35</v>
      </c>
      <c r="D346" s="4" t="s">
        <v>10</v>
      </c>
      <c r="E346" s="4" t="s">
        <v>32</v>
      </c>
      <c r="F346" s="4" t="s">
        <v>36</v>
      </c>
      <c r="G346" s="5">
        <v>45271</v>
      </c>
      <c r="H346" s="4">
        <v>18</v>
      </c>
      <c r="I346" s="4">
        <v>255.89</v>
      </c>
      <c r="J346" s="6">
        <v>114.53</v>
      </c>
      <c r="K346">
        <f t="shared" si="20"/>
        <v>91</v>
      </c>
      <c r="L346">
        <f t="shared" si="21"/>
        <v>67</v>
      </c>
      <c r="M346" t="str">
        <f>IF(B346="",$Z$18,B346)</f>
        <v>East</v>
      </c>
      <c r="N346" t="str">
        <f>IF(D346="",$Z$19,D346)</f>
        <v>Clothing</v>
      </c>
      <c r="O346">
        <f>IF(H346="",$Y$24,H346)</f>
        <v>18</v>
      </c>
      <c r="P346">
        <f>IF(I346="",$Z$24,I346)</f>
        <v>255.89</v>
      </c>
      <c r="Q346">
        <f t="shared" si="22"/>
        <v>4606.0199999999995</v>
      </c>
      <c r="R346">
        <f t="shared" si="23"/>
        <v>2544.4799999999996</v>
      </c>
    </row>
    <row r="347" spans="1:18">
      <c r="A347" s="3" t="s">
        <v>392</v>
      </c>
      <c r="B347" s="4" t="s">
        <v>2</v>
      </c>
      <c r="C347" s="4" t="s">
        <v>65</v>
      </c>
      <c r="D347" s="4" t="s">
        <v>10</v>
      </c>
      <c r="E347" s="4" t="s">
        <v>32</v>
      </c>
      <c r="F347" s="4" t="s">
        <v>36</v>
      </c>
      <c r="G347" s="5">
        <v>45272</v>
      </c>
      <c r="H347" s="4">
        <v>271</v>
      </c>
      <c r="I347" s="4">
        <v>83.86</v>
      </c>
      <c r="J347" s="6">
        <v>19.75</v>
      </c>
      <c r="K347">
        <f t="shared" si="20"/>
        <v>91</v>
      </c>
      <c r="L347">
        <f t="shared" si="21"/>
        <v>67</v>
      </c>
      <c r="M347" t="str">
        <f>IF(B347="",$Z$18,B347)</f>
        <v>East</v>
      </c>
      <c r="N347" t="str">
        <f>IF(D347="",$Z$19,D347)</f>
        <v>Clothing</v>
      </c>
      <c r="O347">
        <f>IF(H347="",$Y$24,H347)</f>
        <v>271</v>
      </c>
      <c r="P347">
        <f>IF(I347="",$Z$24,I347)</f>
        <v>83.86</v>
      </c>
      <c r="Q347">
        <f t="shared" si="22"/>
        <v>22726.06</v>
      </c>
      <c r="R347">
        <f t="shared" si="23"/>
        <v>17373.810000000001</v>
      </c>
    </row>
    <row r="348" spans="1:18">
      <c r="A348" s="3" t="s">
        <v>393</v>
      </c>
      <c r="B348" s="4" t="s">
        <v>5</v>
      </c>
      <c r="C348" s="4" t="s">
        <v>31</v>
      </c>
      <c r="D348" s="4" t="s">
        <v>11</v>
      </c>
      <c r="E348" s="4" t="s">
        <v>32</v>
      </c>
      <c r="F348" s="4" t="s">
        <v>33</v>
      </c>
      <c r="G348" s="5">
        <v>45273</v>
      </c>
      <c r="H348" s="4">
        <v>82</v>
      </c>
      <c r="I348" s="4">
        <v>36.24</v>
      </c>
      <c r="J348" s="6">
        <v>16.440000000000001</v>
      </c>
      <c r="K348">
        <f t="shared" si="20"/>
        <v>106</v>
      </c>
      <c r="L348">
        <f t="shared" si="21"/>
        <v>70</v>
      </c>
      <c r="M348" t="str">
        <f>IF(B348="",$Z$18,B348)</f>
        <v>West</v>
      </c>
      <c r="N348" t="str">
        <f>IF(D348="",$Z$19,D348)</f>
        <v>Electronics</v>
      </c>
      <c r="O348">
        <f>IF(H348="",$Y$24,H348)</f>
        <v>82</v>
      </c>
      <c r="P348">
        <f>IF(I348="",$Z$24,I348)</f>
        <v>36.24</v>
      </c>
      <c r="Q348">
        <f t="shared" si="22"/>
        <v>2971.6800000000003</v>
      </c>
      <c r="R348">
        <f t="shared" si="23"/>
        <v>1623.6000000000001</v>
      </c>
    </row>
    <row r="349" spans="1:18">
      <c r="A349" s="3" t="s">
        <v>394</v>
      </c>
      <c r="B349" s="4" t="s">
        <v>5</v>
      </c>
      <c r="C349" s="4" t="s">
        <v>31</v>
      </c>
      <c r="D349" s="4" t="s">
        <v>12</v>
      </c>
      <c r="E349" s="4" t="s">
        <v>32</v>
      </c>
      <c r="F349" s="4" t="s">
        <v>33</v>
      </c>
      <c r="G349" s="5">
        <v>45274</v>
      </c>
      <c r="H349" s="4">
        <v>368</v>
      </c>
      <c r="I349" s="4">
        <v>63.24</v>
      </c>
      <c r="J349" s="6">
        <v>111.74</v>
      </c>
      <c r="K349">
        <f t="shared" si="20"/>
        <v>106</v>
      </c>
      <c r="L349">
        <f t="shared" si="21"/>
        <v>61</v>
      </c>
      <c r="M349" t="str">
        <f>IF(B349="",$Z$18,B349)</f>
        <v>West</v>
      </c>
      <c r="N349" t="str">
        <f>IF(D349="",$Z$19,D349)</f>
        <v>Food</v>
      </c>
      <c r="O349">
        <f>IF(H349="",$Y$24,H349)</f>
        <v>368</v>
      </c>
      <c r="P349">
        <f>IF(I349="",$Z$24,I349)</f>
        <v>63.24</v>
      </c>
      <c r="Q349">
        <f t="shared" si="22"/>
        <v>23272.32</v>
      </c>
      <c r="R349">
        <f t="shared" si="23"/>
        <v>-17848</v>
      </c>
    </row>
    <row r="350" spans="1:18">
      <c r="A350" s="3" t="s">
        <v>395</v>
      </c>
      <c r="B350" s="4" t="s">
        <v>5</v>
      </c>
      <c r="C350" s="4" t="s">
        <v>31</v>
      </c>
      <c r="D350" s="4" t="s">
        <v>9</v>
      </c>
      <c r="E350" s="4" t="s">
        <v>32</v>
      </c>
      <c r="F350" s="4" t="s">
        <v>36</v>
      </c>
      <c r="G350" s="5">
        <v>45275</v>
      </c>
      <c r="H350" s="4">
        <v>232</v>
      </c>
      <c r="I350" s="4">
        <v>117.54</v>
      </c>
      <c r="J350" s="6">
        <v>111.69</v>
      </c>
      <c r="K350">
        <f t="shared" si="20"/>
        <v>106</v>
      </c>
      <c r="L350">
        <f t="shared" si="21"/>
        <v>83</v>
      </c>
      <c r="M350" t="str">
        <f>IF(B350="",$Z$18,B350)</f>
        <v>West</v>
      </c>
      <c r="N350" t="str">
        <f>IF(D350="",$Z$19,D350)</f>
        <v>Beverages</v>
      </c>
      <c r="O350">
        <f>IF(H350="",$Y$24,H350)</f>
        <v>232</v>
      </c>
      <c r="P350">
        <f>IF(I350="",$Z$24,I350)</f>
        <v>117.54</v>
      </c>
      <c r="Q350">
        <f t="shared" si="22"/>
        <v>27269.280000000002</v>
      </c>
      <c r="R350">
        <f t="shared" si="23"/>
        <v>1357.2000000000044</v>
      </c>
    </row>
    <row r="351" spans="1:18">
      <c r="A351" s="7" t="s">
        <v>396</v>
      </c>
      <c r="B351" s="8" t="s">
        <v>2</v>
      </c>
      <c r="C351" s="8" t="s">
        <v>46</v>
      </c>
      <c r="D351" s="8" t="s">
        <v>10</v>
      </c>
      <c r="E351" s="8" t="s">
        <v>38</v>
      </c>
      <c r="F351" s="8" t="s">
        <v>33</v>
      </c>
      <c r="G351" s="9">
        <v>45276</v>
      </c>
      <c r="H351" s="8">
        <v>425</v>
      </c>
      <c r="I351" s="8">
        <v>174.13</v>
      </c>
      <c r="J351" s="10">
        <v>315.27999999999997</v>
      </c>
      <c r="K351">
        <f t="shared" si="20"/>
        <v>91</v>
      </c>
      <c r="L351">
        <f t="shared" si="21"/>
        <v>67</v>
      </c>
      <c r="M351" t="str">
        <f>IF(B351="",$Z$18,B351)</f>
        <v>East</v>
      </c>
      <c r="N351" t="str">
        <f>IF(D351="",$Z$19,D351)</f>
        <v>Clothing</v>
      </c>
      <c r="O351">
        <f>IF(H351="",$Y$24,H351)</f>
        <v>425</v>
      </c>
      <c r="P351">
        <f>IF(I351="",$Z$24,I351)</f>
        <v>174.13</v>
      </c>
      <c r="Q351">
        <f t="shared" si="22"/>
        <v>74005.25</v>
      </c>
      <c r="R351">
        <f t="shared" si="23"/>
        <v>-59988.75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2025-12-29T10:58:51Z</dcterms:created>
  <dcterms:modified xsi:type="dcterms:W3CDTF">2025-12-29T11:37:54Z</dcterms:modified>
  <cp:category/>
  <cp:contentStatus/>
</cp:coreProperties>
</file>