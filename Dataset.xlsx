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kshmi\Downloads\"/>
    </mc:Choice>
  </mc:AlternateContent>
  <xr:revisionPtr revIDLastSave="0" documentId="13_ncr:1_{A55EDDB9-EE48-48C1-BD52-524C371ED1D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Sheet1!$A$1:$G$51</definedName>
  </definedNames>
  <calcPr calcId="191029"/>
  <pivotCaches>
    <pivotCache cacheId="35" r:id="rId3"/>
  </pivotCaches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J11" i="1"/>
  <c r="H11" i="1"/>
  <c r="H10" i="1"/>
  <c r="H9" i="1"/>
  <c r="H8" i="1"/>
  <c r="H7" i="1"/>
  <c r="H6" i="1"/>
  <c r="H5" i="1"/>
  <c r="K4" i="1"/>
  <c r="H4" i="1"/>
  <c r="H3" i="1"/>
  <c r="H2" i="1"/>
</calcChain>
</file>

<file path=xl/sharedStrings.xml><?xml version="1.0" encoding="utf-8"?>
<sst xmlns="http://schemas.openxmlformats.org/spreadsheetml/2006/main" count="195" uniqueCount="98">
  <si>
    <t>OrderID</t>
  </si>
  <si>
    <t>CustomerName</t>
  </si>
  <si>
    <t>Region</t>
  </si>
  <si>
    <t>Product</t>
  </si>
  <si>
    <t>Quantity</t>
  </si>
  <si>
    <t>UnitPrice</t>
  </si>
  <si>
    <t>OrderDate</t>
  </si>
  <si>
    <t>Total Sale:Calculate the Total Sales for each row using a formula</t>
  </si>
  <si>
    <t>Amit Sharma</t>
  </si>
  <si>
    <t>North</t>
  </si>
  <si>
    <t>Notebook</t>
  </si>
  <si>
    <t>Neha Verma</t>
  </si>
  <si>
    <t>South</t>
  </si>
  <si>
    <t>Pen</t>
  </si>
  <si>
    <t>Count how many customer names are recorded.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</si>
  <si>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</si>
  <si>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</si>
  <si>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</si>
  <si>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</si>
  <si>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</si>
  <si>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</si>
  <si>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</si>
  <si>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</si>
  <si>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</si>
  <si>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</si>
  <si>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</si>
  <si>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</si>
  <si>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</si>
  <si>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</si>
  <si>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</si>
  <si>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Calculate the total sales of Notebooks in the North region only.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</si>
  <si>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</si>
  <si>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</si>
  <si>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</si>
  <si>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</si>
  <si>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</si>
  <si>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</si>
  <si>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</si>
  <si>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</si>
  <si>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Create a column chart showing total sales by product.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</si>
  <si>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</si>
  <si>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</si>
  <si>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</si>
  <si>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</si>
  <si>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</si>
  <si>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</si>
  <si>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</si>
  <si>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</si>
  <si>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</si>
  <si>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</si>
  <si>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</si>
  <si>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</si>
  <si>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</si>
  <si>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</si>
  <si>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</si>
  <si>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</si>
  <si>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</si>
  <si>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</si>
  <si>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</si>
  <si>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</si>
  <si>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</si>
  <si>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</si>
  <si>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</si>
  <si>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</si>
  <si>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</si>
  <si>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</si>
  <si>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</si>
  <si>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</si>
  <si>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</si>
  <si>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</si>
  <si>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</si>
  <si>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</si>
  <si>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</si>
  <si>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</si>
  <si>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</si>
  <si>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</si>
  <si>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</si>
  <si>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</si>
  <si>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</si>
  <si>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</si>
  <si>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</si>
  <si>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</si>
  <si>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</si>
  <si>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</si>
  <si>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</si>
  <si>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</si>
  <si>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</si>
  <si>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</si>
  <si>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</si>
  <si>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</si>
  <si>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</si>
  <si>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</si>
  <si>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</si>
  <si>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</si>
  <si>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</si>
  <si>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</si>
  <si>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Sum of Quantity</t>
  </si>
  <si>
    <t>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</si>
</sst>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mm/dd/yyyy"/>
  </numFmts>
  <fonts count="4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6" fontId="2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[Dataset.xlsx]Sheet2!PivotTable29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Quantity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241</c:v>
                </c:pt>
                <c:pt idx="1">
                  <c:v>146</c:v>
                </c:pt>
                <c:pt idx="2">
                  <c:v>151</c:v>
                </c:pt>
                <c:pt idx="3">
                  <c:v>218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4-4A11-BF08-B3AAA3B5F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589440"/>
        <c:axId val="1644589920"/>
      </c:barChart>
      <c:catAx>
        <c:axId val="16445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89920"/>
        <c:crosses val="autoZero"/>
        <c:auto val="1"/>
        <c:lblAlgn val="ctr"/>
        <c:lblOffset val="100"/>
        <c:noMultiLvlLbl val="0"/>
      </c:catAx>
      <c:valAx>
        <c:axId val="16445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8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Total Sale:Calculate the Total Sales for each row using a formula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xVal>
          <c:y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4-4141-AC33-6C161F228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34576"/>
        <c:axId val="158733136"/>
      </c:scatterChart>
      <c:valAx>
        <c:axId val="15873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33136"/>
        <c:crosses val="autoZero"/>
        <c:crossBetween val="midCat"/>
      </c:valAx>
      <c:valAx>
        <c:axId val="1587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3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</xdr:row>
      <xdr:rowOff>76200</xdr:rowOff>
    </xdr:from>
    <xdr:to>
      <xdr:col>12</xdr:col>
      <xdr:colOff>209550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36EB1-D041-0DED-06C5-365BADE7B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15</xdr:row>
      <xdr:rowOff>133350</xdr:rowOff>
    </xdr:from>
    <xdr:to>
      <xdr:col>14</xdr:col>
      <xdr:colOff>800100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546638-6F06-0ED1-DCEF-28174DA7A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mi" refreshedDate="45997.664718171298" createdVersion="8" refreshedVersion="8" minRefreshableVersion="3" recordCount="50" xr:uid="{96DF8C32-1A21-4F06-8452-0A463DCEE56D}">
  <cacheSource type="worksheet">
    <worksheetSource ref="A1:H51" sheet="Sheet1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Total Sale:Calculate the Total Sales for each row using a formula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  <n v="500"/>
  </r>
  <r>
    <n v="1002"/>
    <s v="Neha Verma"/>
    <s v="South"/>
    <x v="1"/>
    <n v="20"/>
    <n v="10"/>
    <d v="2024-06-01T00:00:00"/>
    <n v="200"/>
  </r>
  <r>
    <n v="1003"/>
    <s v="Rahul Singh"/>
    <s v="East"/>
    <x v="2"/>
    <n v="15"/>
    <n v="25"/>
    <d v="2024-07-01T00:00:00"/>
    <n v="375"/>
  </r>
  <r>
    <n v="1004"/>
    <s v="Pooja Mehta"/>
    <s v="West"/>
    <x v="0"/>
    <n v="5"/>
    <n v="50"/>
    <d v="2024-08-01T00:00:00"/>
    <n v="250"/>
  </r>
  <r>
    <n v="1005"/>
    <s v="Ankit Jain"/>
    <s v="North"/>
    <x v="3"/>
    <n v="30"/>
    <n v="5"/>
    <d v="2024-10-01T00:00:00"/>
    <n v="150"/>
  </r>
  <r>
    <n v="1006"/>
    <s v="Sneha Patel"/>
    <s v="South"/>
    <x v="0"/>
    <n v="12"/>
    <n v="50"/>
    <d v="2024-11-01T00:00:00"/>
    <n v="600"/>
  </r>
  <r>
    <n v="1007"/>
    <s v="Vikas Gupta"/>
    <s v="East"/>
    <x v="4"/>
    <n v="25"/>
    <n v="8"/>
    <s v="13-01-2024"/>
    <n v="200"/>
  </r>
  <r>
    <n v="1008"/>
    <s v="Meera Nair"/>
    <s v="West"/>
    <x v="1"/>
    <n v="18"/>
    <n v="10"/>
    <s v="15-01-2024"/>
    <n v="180"/>
  </r>
  <r>
    <n v="1009"/>
    <s v="Anjali Rao"/>
    <s v="North"/>
    <x v="2"/>
    <n v="22"/>
    <n v="25"/>
    <s v="17-01-2024"/>
    <n v="550"/>
  </r>
  <r>
    <n v="1010"/>
    <s v="Manoj Das"/>
    <s v="South"/>
    <x v="0"/>
    <n v="8"/>
    <n v="50"/>
    <s v="18-01-2024"/>
    <n v="400"/>
  </r>
  <r>
    <n v="1011"/>
    <s v="Ritika Sen"/>
    <s v="East"/>
    <x v="3"/>
    <n v="40"/>
    <n v="5"/>
    <s v="19-01-2024"/>
    <n v="200"/>
  </r>
  <r>
    <n v="1012"/>
    <s v="Karan Malhotra"/>
    <s v="West"/>
    <x v="4"/>
    <n v="35"/>
    <n v="8"/>
    <s v="20-01-2024"/>
    <n v="280"/>
  </r>
  <r>
    <n v="1013"/>
    <s v="Aryan Joshi"/>
    <s v="North"/>
    <x v="0"/>
    <n v="14"/>
    <n v="50"/>
    <s v="22-01-2024"/>
    <n v="700"/>
  </r>
  <r>
    <n v="1014"/>
    <s v="Divya Kapoor"/>
    <s v="South"/>
    <x v="1"/>
    <n v="28"/>
    <n v="10"/>
    <s v="23-01-2024"/>
    <n v="280"/>
  </r>
  <r>
    <n v="1015"/>
    <s v="Sahil Arora"/>
    <s v="East"/>
    <x v="2"/>
    <n v="12"/>
    <n v="25"/>
    <s v="24-01-2024"/>
    <n v="300"/>
  </r>
  <r>
    <n v="1016"/>
    <s v="Muskan Jain"/>
    <s v="West"/>
    <x v="3"/>
    <n v="25"/>
    <n v="5"/>
    <s v="26-01-2024"/>
    <n v="125"/>
  </r>
  <r>
    <n v="1017"/>
    <s v="Rohan Gupta"/>
    <s v="North"/>
    <x v="4"/>
    <n v="20"/>
    <n v="8"/>
    <s v="28-01-2024"/>
    <n v="160"/>
  </r>
  <r>
    <n v="1018"/>
    <s v="Nidhi Sharma"/>
    <s v="South"/>
    <x v="0"/>
    <n v="10"/>
    <n v="50"/>
    <s v="29-01-2024"/>
    <n v="500"/>
  </r>
  <r>
    <n v="1019"/>
    <s v="Tarun Verma"/>
    <s v="East"/>
    <x v="1"/>
    <n v="15"/>
    <n v="10"/>
    <s v="30-01-2024"/>
    <n v="150"/>
  </r>
  <r>
    <n v="1020"/>
    <s v="Simran Kaur"/>
    <s v="West"/>
    <x v="2"/>
    <n v="18"/>
    <n v="25"/>
    <d v="2024-01-02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3-02T00:00:00"/>
    <n v="175"/>
  </r>
  <r>
    <n v="1023"/>
    <s v="Aditya Singh"/>
    <s v="East"/>
    <x v="4"/>
    <n v="30"/>
    <n v="8"/>
    <d v="2024-04-02T00:00:00"/>
    <n v="240"/>
  </r>
  <r>
    <n v="1024"/>
    <s v="Shreya Nair"/>
    <s v="West"/>
    <x v="0"/>
    <n v="11"/>
    <n v="50"/>
    <d v="2024-06-02T00:00:00"/>
    <n v="550"/>
  </r>
  <r>
    <n v="1025"/>
    <s v="Sanjay Kumar"/>
    <s v="North"/>
    <x v="1"/>
    <n v="14"/>
    <n v="10"/>
    <d v="2024-07-02T00:00:00"/>
    <n v="140"/>
  </r>
  <r>
    <n v="1026"/>
    <s v="Aarti Sharma"/>
    <s v="South"/>
    <x v="2"/>
    <n v="16"/>
    <n v="25"/>
    <d v="2024-08-02T00:00:00"/>
    <n v="400"/>
  </r>
  <r>
    <n v="1027"/>
    <s v="Rajesh Patel"/>
    <s v="East"/>
    <x v="3"/>
    <n v="22"/>
    <n v="5"/>
    <d v="2024-09-02T00:00:00"/>
    <n v="110"/>
  </r>
  <r>
    <n v="1028"/>
    <s v="Preeti Joshi"/>
    <s v="West"/>
    <x v="4"/>
    <n v="27"/>
    <n v="8"/>
    <d v="2024-10-02T00:00:00"/>
    <n v="216"/>
  </r>
  <r>
    <n v="1029"/>
    <s v="Anurag Mishra"/>
    <s v="North"/>
    <x v="0"/>
    <n v="13"/>
    <n v="50"/>
    <d v="2024-12-02T00:00:00"/>
    <n v="650"/>
  </r>
  <r>
    <n v="1030"/>
    <s v="Sanya Kapoor"/>
    <s v="South"/>
    <x v="1"/>
    <n v="32"/>
    <n v="10"/>
    <s v="13-02-2024"/>
    <n v="320"/>
  </r>
  <r>
    <n v="1031"/>
    <s v="Harsh Yadav"/>
    <s v="East"/>
    <x v="2"/>
    <n v="10"/>
    <n v="25"/>
    <s v="14-02-2024"/>
    <n v="250"/>
  </r>
  <r>
    <n v="1032"/>
    <s v="Kajal Rani"/>
    <s v="West"/>
    <x v="3"/>
    <n v="18"/>
    <n v="5"/>
    <s v="16-02-2024"/>
    <n v="90"/>
  </r>
  <r>
    <n v="1033"/>
    <s v="Varun Sharma"/>
    <s v="North"/>
    <x v="4"/>
    <n v="22"/>
    <n v="8"/>
    <s v="17-02-2024"/>
    <n v="176"/>
  </r>
  <r>
    <n v="1034"/>
    <s v="Swati Arora"/>
    <s v="South"/>
    <x v="0"/>
    <n v="17"/>
    <n v="50"/>
    <s v="18-02-2024"/>
    <n v="850"/>
  </r>
  <r>
    <n v="1035"/>
    <s v="Akhil Jain"/>
    <s v="East"/>
    <x v="1"/>
    <n v="19"/>
    <n v="10"/>
    <s v="19-02-2024"/>
    <n v="190"/>
  </r>
  <r>
    <n v="1036"/>
    <s v="Priyanka Das"/>
    <s v="West"/>
    <x v="2"/>
    <n v="15"/>
    <n v="25"/>
    <s v="21-02-2024"/>
    <n v="375"/>
  </r>
  <r>
    <n v="1037"/>
    <s v="Ravi Nair"/>
    <s v="North"/>
    <x v="3"/>
    <n v="28"/>
    <n v="5"/>
    <s v="22-02-2024"/>
    <n v="140"/>
  </r>
  <r>
    <n v="1038"/>
    <s v="Komal Singh"/>
    <s v="South"/>
    <x v="4"/>
    <n v="24"/>
    <n v="8"/>
    <s v="23-02-2024"/>
    <n v="192"/>
  </r>
  <r>
    <n v="1039"/>
    <s v="Ayesha Khan"/>
    <s v="East"/>
    <x v="0"/>
    <n v="16"/>
    <n v="50"/>
    <s v="25-02-2024"/>
    <n v="800"/>
  </r>
  <r>
    <n v="1040"/>
    <s v="Arjun Mehta"/>
    <s v="West"/>
    <x v="1"/>
    <n v="27"/>
    <n v="10"/>
    <s v="26-02-2024"/>
    <n v="270"/>
  </r>
  <r>
    <n v="1041"/>
    <s v="Sonali Gupta"/>
    <s v="North"/>
    <x v="2"/>
    <n v="21"/>
    <n v="25"/>
    <s v="27-02-2024"/>
    <n v="525"/>
  </r>
  <r>
    <n v="1042"/>
    <s v="Neeraj Kapoor"/>
    <s v="South"/>
    <x v="3"/>
    <n v="30"/>
    <n v="5"/>
    <s v="28-02-2024"/>
    <n v="150"/>
  </r>
  <r>
    <n v="1043"/>
    <s v="Shruti Sharma"/>
    <s v="East"/>
    <x v="4"/>
    <n v="26"/>
    <n v="8"/>
    <d v="2024-01-03T00:00:00"/>
    <n v="208"/>
  </r>
  <r>
    <n v="1044"/>
    <s v="Yash Arora"/>
    <s v="West"/>
    <x v="0"/>
    <n v="14"/>
    <n v="50"/>
    <d v="2024-02-03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4-03T00:00:00"/>
    <n v="425"/>
  </r>
  <r>
    <n v="1047"/>
    <s v="Sonia Verma"/>
    <s v="East"/>
    <x v="3"/>
    <n v="19"/>
    <n v="5"/>
    <d v="2024-05-03T00:00:00"/>
    <n v="95"/>
  </r>
  <r>
    <n v="1048"/>
    <s v="Kunal Singh"/>
    <s v="West"/>
    <x v="4"/>
    <n v="32"/>
    <n v="8"/>
    <d v="2024-06-03T00:00:00"/>
    <n v="256"/>
  </r>
  <r>
    <n v="1049"/>
    <s v="Ritika Jain"/>
    <s v="North"/>
    <x v="0"/>
    <n v="12"/>
    <n v="50"/>
    <d v="2024-07-03T00:00:00"/>
    <n v="600"/>
  </r>
  <r>
    <n v="1050"/>
    <s v="Vivek Malhotra"/>
    <s v="South"/>
    <x v="1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F7AAF-436A-4813-B085-C0BD72D68BFA}" name="PivotTable29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5B60-C875-4FCE-9FD4-B1373D180155}">
  <dimension ref="A1:B8"/>
  <sheetViews>
    <sheetView workbookViewId="0">
      <selection activeCell="B1" sqref="B1"/>
    </sheetView>
  </sheetViews>
  <sheetFormatPr defaultRowHeight="12.75"/>
  <cols>
    <col min="1" max="1" width="10.28515625" bestFit="1" customWidth="1"/>
    <col min="2" max="2" width="15.7109375" bestFit="1" customWidth="1"/>
  </cols>
  <sheetData>
    <row r="1" spans="1:2">
      <c r="B1" t="s">
        <v>39</v>
      </c>
    </row>
    <row r="3" spans="1:2">
      <c r="A3" s="6" t="s">
        <v>3</v>
      </c>
      <c r="B3" t="s">
        <v>96</v>
      </c>
    </row>
    <row r="4" spans="1:2">
      <c r="A4" t="s">
        <v>24</v>
      </c>
      <c r="B4" s="7">
        <v>241</v>
      </c>
    </row>
    <row r="5" spans="1:2">
      <c r="A5" t="s">
        <v>17</v>
      </c>
      <c r="B5" s="7">
        <v>146</v>
      </c>
    </row>
    <row r="6" spans="1:2">
      <c r="A6" t="s">
        <v>10</v>
      </c>
      <c r="B6" s="7">
        <v>151</v>
      </c>
    </row>
    <row r="7" spans="1:2">
      <c r="A7" t="s">
        <v>13</v>
      </c>
      <c r="B7" s="7">
        <v>218</v>
      </c>
    </row>
    <row r="8" spans="1:2">
      <c r="A8" t="s">
        <v>21</v>
      </c>
      <c r="B8" s="7">
        <v>247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3"/>
  <sheetViews>
    <sheetView tabSelected="1" topLeftCell="A10" workbookViewId="0">
      <selection activeCell="J22" sqref="J22"/>
    </sheetView>
  </sheetViews>
  <sheetFormatPr defaultColWidth="12.5703125" defaultRowHeight="15.75" customHeight="1"/>
  <cols>
    <col min="2" max="2" width="19.7109375" customWidth="1"/>
    <col min="4" max="4" width="10.140625" bestFit="1" customWidth="1"/>
    <col min="5" max="5" width="11" bestFit="1" customWidth="1"/>
    <col min="6" max="6" width="11.5703125" bestFit="1" customWidth="1"/>
    <col min="7" max="7" width="12.5703125" bestFit="1" customWidth="1"/>
    <col min="9" max="9" width="3.140625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11" ht="15.75" customHeight="1">
      <c r="A2" s="2">
        <v>1001</v>
      </c>
      <c r="B2" s="3" t="s">
        <v>8</v>
      </c>
      <c r="C2" s="3" t="s">
        <v>9</v>
      </c>
      <c r="D2" s="3" t="s">
        <v>10</v>
      </c>
      <c r="E2" s="2">
        <v>10</v>
      </c>
      <c r="F2" s="2">
        <v>50</v>
      </c>
      <c r="G2" s="4">
        <v>45413</v>
      </c>
      <c r="H2" s="5">
        <f>SUMPRODUCT(E2*F2)</f>
        <v>500</v>
      </c>
    </row>
    <row r="3" spans="1:11" ht="15.75" customHeight="1">
      <c r="A3" s="2">
        <v>1002</v>
      </c>
      <c r="B3" s="3" t="s">
        <v>11</v>
      </c>
      <c r="C3" s="3" t="s">
        <v>12</v>
      </c>
      <c r="D3" s="3" t="s">
        <v>13</v>
      </c>
      <c r="E3" s="2">
        <v>20</v>
      </c>
      <c r="F3" s="2">
        <v>10</v>
      </c>
      <c r="G3" s="4">
        <v>45444</v>
      </c>
      <c r="H3" s="5">
        <f t="shared" ref="H3:H25" si="0">SUMPRODUCT(E3*F3)</f>
        <v>200</v>
      </c>
      <c r="K3" t="s">
        <v>14</v>
      </c>
    </row>
    <row r="4" spans="1:11" ht="15.75" customHeight="1">
      <c r="A4" s="2">
        <v>1003</v>
      </c>
      <c r="B4" s="3" t="s">
        <v>15</v>
      </c>
      <c r="C4" s="3" t="s">
        <v>16</v>
      </c>
      <c r="D4" s="3" t="s">
        <v>17</v>
      </c>
      <c r="E4" s="2">
        <v>15</v>
      </c>
      <c r="F4" s="2">
        <v>25</v>
      </c>
      <c r="G4" s="4">
        <v>45474</v>
      </c>
      <c r="H4" s="5">
        <f t="shared" si="0"/>
        <v>375</v>
      </c>
      <c r="K4">
        <f>COUNTA(B2:B51)</f>
        <v>50</v>
      </c>
    </row>
    <row r="5" spans="1:11" ht="15.75" customHeight="1">
      <c r="A5" s="2">
        <v>1004</v>
      </c>
      <c r="B5" s="3" t="s">
        <v>18</v>
      </c>
      <c r="C5" s="3" t="s">
        <v>19</v>
      </c>
      <c r="D5" s="3" t="s">
        <v>10</v>
      </c>
      <c r="E5" s="2">
        <v>5</v>
      </c>
      <c r="F5" s="2">
        <v>50</v>
      </c>
      <c r="G5" s="4">
        <v>45505</v>
      </c>
      <c r="H5" s="5">
        <f t="shared" si="0"/>
        <v>250</v>
      </c>
    </row>
    <row r="6" spans="1:11" ht="15.75" customHeight="1">
      <c r="A6" s="2">
        <v>1005</v>
      </c>
      <c r="B6" s="3" t="s">
        <v>20</v>
      </c>
      <c r="C6" s="3" t="s">
        <v>9</v>
      </c>
      <c r="D6" s="3" t="s">
        <v>21</v>
      </c>
      <c r="E6" s="2">
        <v>30</v>
      </c>
      <c r="F6" s="2">
        <v>5</v>
      </c>
      <c r="G6" s="4">
        <v>45566</v>
      </c>
      <c r="H6" s="5">
        <f t="shared" si="0"/>
        <v>150</v>
      </c>
    </row>
    <row r="7" spans="1:11" ht="15.75" customHeight="1">
      <c r="A7" s="2">
        <v>1006</v>
      </c>
      <c r="B7" s="3" t="s">
        <v>22</v>
      </c>
      <c r="C7" s="3" t="s">
        <v>12</v>
      </c>
      <c r="D7" s="3" t="s">
        <v>10</v>
      </c>
      <c r="E7" s="2">
        <v>12</v>
      </c>
      <c r="F7" s="2">
        <v>50</v>
      </c>
      <c r="G7" s="4">
        <v>45597</v>
      </c>
      <c r="H7" s="5">
        <f t="shared" si="0"/>
        <v>600</v>
      </c>
    </row>
    <row r="8" spans="1:11" ht="15.75" customHeight="1">
      <c r="A8" s="2">
        <v>1007</v>
      </c>
      <c r="B8" s="3" t="s">
        <v>23</v>
      </c>
      <c r="C8" s="3" t="s">
        <v>16</v>
      </c>
      <c r="D8" s="3" t="s">
        <v>24</v>
      </c>
      <c r="E8" s="2">
        <v>25</v>
      </c>
      <c r="F8" s="2">
        <v>8</v>
      </c>
      <c r="G8" s="2" t="s">
        <v>25</v>
      </c>
      <c r="H8" s="5">
        <f t="shared" si="0"/>
        <v>200</v>
      </c>
    </row>
    <row r="9" spans="1:11" ht="15.75" customHeight="1">
      <c r="A9" s="2">
        <v>1008</v>
      </c>
      <c r="B9" s="3" t="s">
        <v>26</v>
      </c>
      <c r="C9" s="3" t="s">
        <v>19</v>
      </c>
      <c r="D9" s="3" t="s">
        <v>13</v>
      </c>
      <c r="E9" s="2">
        <v>18</v>
      </c>
      <c r="F9" s="2">
        <v>10</v>
      </c>
      <c r="G9" s="2" t="s">
        <v>27</v>
      </c>
      <c r="H9" s="5">
        <f t="shared" si="0"/>
        <v>180</v>
      </c>
    </row>
    <row r="10" spans="1:11" ht="15.75" customHeight="1">
      <c r="A10" s="2">
        <v>1009</v>
      </c>
      <c r="B10" s="3" t="s">
        <v>28</v>
      </c>
      <c r="C10" s="3" t="s">
        <v>9</v>
      </c>
      <c r="D10" s="3" t="s">
        <v>17</v>
      </c>
      <c r="E10" s="2">
        <v>22</v>
      </c>
      <c r="F10" s="2">
        <v>25</v>
      </c>
      <c r="G10" s="2" t="s">
        <v>29</v>
      </c>
      <c r="H10" s="5">
        <f t="shared" si="0"/>
        <v>550</v>
      </c>
      <c r="J10" t="s">
        <v>30</v>
      </c>
    </row>
    <row r="11" spans="1:11" ht="15.75" customHeight="1">
      <c r="A11" s="2">
        <v>1010</v>
      </c>
      <c r="B11" s="3" t="s">
        <v>31</v>
      </c>
      <c r="C11" s="3" t="s">
        <v>12</v>
      </c>
      <c r="D11" s="3" t="s">
        <v>10</v>
      </c>
      <c r="E11" s="2">
        <v>8</v>
      </c>
      <c r="F11" s="2">
        <v>50</v>
      </c>
      <c r="G11" s="2" t="s">
        <v>32</v>
      </c>
      <c r="H11" s="5">
        <f t="shared" si="0"/>
        <v>400</v>
      </c>
      <c r="J11">
        <f>SUMIFS(H1:H51,D1:D51,"Notebook",C1:C51,"North")</f>
        <v>2900</v>
      </c>
    </row>
    <row r="12" spans="1:11" ht="15.75" customHeight="1">
      <c r="A12" s="2">
        <v>1011</v>
      </c>
      <c r="B12" s="3" t="s">
        <v>33</v>
      </c>
      <c r="C12" s="3" t="s">
        <v>16</v>
      </c>
      <c r="D12" s="3" t="s">
        <v>21</v>
      </c>
      <c r="E12" s="2">
        <v>40</v>
      </c>
      <c r="F12" s="2">
        <v>5</v>
      </c>
      <c r="G12" s="2" t="s">
        <v>34</v>
      </c>
      <c r="H12" s="5">
        <f t="shared" si="0"/>
        <v>200</v>
      </c>
    </row>
    <row r="13" spans="1:11" ht="15.75" customHeight="1">
      <c r="A13" s="2">
        <v>1012</v>
      </c>
      <c r="B13" s="3" t="s">
        <v>35</v>
      </c>
      <c r="C13" s="3" t="s">
        <v>19</v>
      </c>
      <c r="D13" s="3" t="s">
        <v>24</v>
      </c>
      <c r="E13" s="2">
        <v>35</v>
      </c>
      <c r="F13" s="2">
        <v>8</v>
      </c>
      <c r="G13" s="2" t="s">
        <v>36</v>
      </c>
      <c r="H13" s="5">
        <f t="shared" si="0"/>
        <v>280</v>
      </c>
    </row>
    <row r="14" spans="1:11" ht="15.75" customHeight="1">
      <c r="A14" s="2">
        <v>1013</v>
      </c>
      <c r="B14" s="3" t="s">
        <v>37</v>
      </c>
      <c r="C14" s="3" t="s">
        <v>9</v>
      </c>
      <c r="D14" s="3" t="s">
        <v>10</v>
      </c>
      <c r="E14" s="2">
        <v>14</v>
      </c>
      <c r="F14" s="2">
        <v>50</v>
      </c>
      <c r="G14" s="2" t="s">
        <v>38</v>
      </c>
      <c r="H14" s="5">
        <f t="shared" si="0"/>
        <v>700</v>
      </c>
    </row>
    <row r="15" spans="1:11" ht="15.75" customHeight="1">
      <c r="A15" s="2">
        <v>1014</v>
      </c>
      <c r="B15" s="3" t="s">
        <v>40</v>
      </c>
      <c r="C15" s="3" t="s">
        <v>12</v>
      </c>
      <c r="D15" s="3" t="s">
        <v>13</v>
      </c>
      <c r="E15" s="2">
        <v>28</v>
      </c>
      <c r="F15" s="2">
        <v>10</v>
      </c>
      <c r="G15" s="2" t="s">
        <v>41</v>
      </c>
      <c r="H15" s="5">
        <f t="shared" si="0"/>
        <v>280</v>
      </c>
      <c r="K15" t="s">
        <v>97</v>
      </c>
    </row>
    <row r="16" spans="1:11" ht="15.75" customHeight="1">
      <c r="A16" s="2">
        <v>1015</v>
      </c>
      <c r="B16" s="3" t="s">
        <v>42</v>
      </c>
      <c r="C16" s="3" t="s">
        <v>16</v>
      </c>
      <c r="D16" s="3" t="s">
        <v>17</v>
      </c>
      <c r="E16" s="2">
        <v>12</v>
      </c>
      <c r="F16" s="2">
        <v>25</v>
      </c>
      <c r="G16" s="2" t="s">
        <v>43</v>
      </c>
      <c r="H16" s="5">
        <f t="shared" si="0"/>
        <v>300</v>
      </c>
    </row>
    <row r="17" spans="1:8" ht="15.75" customHeight="1">
      <c r="A17" s="2">
        <v>1016</v>
      </c>
      <c r="B17" s="3" t="s">
        <v>44</v>
      </c>
      <c r="C17" s="3" t="s">
        <v>19</v>
      </c>
      <c r="D17" s="3" t="s">
        <v>21</v>
      </c>
      <c r="E17" s="2">
        <v>25</v>
      </c>
      <c r="F17" s="2">
        <v>5</v>
      </c>
      <c r="G17" s="2" t="s">
        <v>45</v>
      </c>
      <c r="H17" s="5">
        <f t="shared" si="0"/>
        <v>125</v>
      </c>
    </row>
    <row r="18" spans="1:8" ht="15.75" customHeight="1">
      <c r="A18" s="2">
        <v>1017</v>
      </c>
      <c r="B18" s="3" t="s">
        <v>46</v>
      </c>
      <c r="C18" s="3" t="s">
        <v>9</v>
      </c>
      <c r="D18" s="3" t="s">
        <v>24</v>
      </c>
      <c r="E18" s="2">
        <v>20</v>
      </c>
      <c r="F18" s="2">
        <v>8</v>
      </c>
      <c r="G18" s="2" t="s">
        <v>47</v>
      </c>
      <c r="H18" s="5">
        <f t="shared" si="0"/>
        <v>160</v>
      </c>
    </row>
    <row r="19" spans="1:8" ht="15.75" customHeight="1">
      <c r="A19" s="2">
        <v>1018</v>
      </c>
      <c r="B19" s="3" t="s">
        <v>48</v>
      </c>
      <c r="C19" s="3" t="s">
        <v>12</v>
      </c>
      <c r="D19" s="3" t="s">
        <v>10</v>
      </c>
      <c r="E19" s="2">
        <v>10</v>
      </c>
      <c r="F19" s="2">
        <v>50</v>
      </c>
      <c r="G19" s="2" t="s">
        <v>49</v>
      </c>
      <c r="H19" s="5">
        <f t="shared" si="0"/>
        <v>500</v>
      </c>
    </row>
    <row r="20" spans="1:8" ht="15.75" customHeight="1">
      <c r="A20" s="2">
        <v>1019</v>
      </c>
      <c r="B20" s="3" t="s">
        <v>50</v>
      </c>
      <c r="C20" s="3" t="s">
        <v>16</v>
      </c>
      <c r="D20" s="3" t="s">
        <v>13</v>
      </c>
      <c r="E20" s="2">
        <v>15</v>
      </c>
      <c r="F20" s="2">
        <v>10</v>
      </c>
      <c r="G20" s="2" t="s">
        <v>51</v>
      </c>
      <c r="H20" s="5">
        <f t="shared" si="0"/>
        <v>150</v>
      </c>
    </row>
    <row r="21" spans="1:8" ht="15.75" customHeight="1">
      <c r="A21" s="2">
        <v>1020</v>
      </c>
      <c r="B21" s="3" t="s">
        <v>52</v>
      </c>
      <c r="C21" s="3" t="s">
        <v>19</v>
      </c>
      <c r="D21" s="3" t="s">
        <v>17</v>
      </c>
      <c r="E21" s="2">
        <v>18</v>
      </c>
      <c r="F21" s="2">
        <v>25</v>
      </c>
      <c r="G21" s="4">
        <v>45293</v>
      </c>
      <c r="H21" s="5">
        <f t="shared" si="0"/>
        <v>450</v>
      </c>
    </row>
    <row r="22" spans="1:8" ht="15.75" customHeight="1">
      <c r="A22" s="2">
        <v>1021</v>
      </c>
      <c r="B22" s="3" t="s">
        <v>53</v>
      </c>
      <c r="C22" s="3" t="s">
        <v>9</v>
      </c>
      <c r="D22" s="3" t="s">
        <v>10</v>
      </c>
      <c r="E22" s="2">
        <v>9</v>
      </c>
      <c r="F22" s="2">
        <v>50</v>
      </c>
      <c r="G22" s="4">
        <v>45324</v>
      </c>
      <c r="H22" s="5">
        <f t="shared" si="0"/>
        <v>450</v>
      </c>
    </row>
    <row r="23" spans="1:8" ht="15.75" customHeight="1">
      <c r="A23" s="2">
        <v>1022</v>
      </c>
      <c r="B23" s="3" t="s">
        <v>54</v>
      </c>
      <c r="C23" s="3" t="s">
        <v>12</v>
      </c>
      <c r="D23" s="3" t="s">
        <v>21</v>
      </c>
      <c r="E23" s="2">
        <v>35</v>
      </c>
      <c r="F23" s="2">
        <v>5</v>
      </c>
      <c r="G23" s="4">
        <v>45353</v>
      </c>
      <c r="H23" s="5">
        <f t="shared" si="0"/>
        <v>175</v>
      </c>
    </row>
    <row r="24" spans="1:8" ht="15.75" customHeight="1">
      <c r="A24" s="2">
        <v>1023</v>
      </c>
      <c r="B24" s="3" t="s">
        <v>55</v>
      </c>
      <c r="C24" s="3" t="s">
        <v>16</v>
      </c>
      <c r="D24" s="3" t="s">
        <v>24</v>
      </c>
      <c r="E24" s="2">
        <v>30</v>
      </c>
      <c r="F24" s="2">
        <v>8</v>
      </c>
      <c r="G24" s="4">
        <v>45384</v>
      </c>
      <c r="H24" s="5">
        <f t="shared" si="0"/>
        <v>240</v>
      </c>
    </row>
    <row r="25" spans="1:8" ht="15.75" customHeight="1">
      <c r="A25" s="2">
        <v>1024</v>
      </c>
      <c r="B25" s="3" t="s">
        <v>56</v>
      </c>
      <c r="C25" s="3" t="s">
        <v>19</v>
      </c>
      <c r="D25" s="3" t="s">
        <v>10</v>
      </c>
      <c r="E25" s="2">
        <v>11</v>
      </c>
      <c r="F25" s="2">
        <v>50</v>
      </c>
      <c r="G25" s="4">
        <v>45445</v>
      </c>
      <c r="H25" s="5">
        <f t="shared" si="0"/>
        <v>550</v>
      </c>
    </row>
    <row r="26" spans="1:8" ht="15.75" customHeight="1">
      <c r="A26" s="2">
        <v>1025</v>
      </c>
      <c r="B26" s="3" t="s">
        <v>57</v>
      </c>
      <c r="C26" s="3" t="s">
        <v>9</v>
      </c>
      <c r="D26" s="3" t="s">
        <v>13</v>
      </c>
      <c r="E26" s="2">
        <v>14</v>
      </c>
      <c r="F26" s="2">
        <v>10</v>
      </c>
      <c r="G26" s="4">
        <v>45475</v>
      </c>
      <c r="H26" s="5">
        <f>SUMPRODUCT(E26*F26)</f>
        <v>140</v>
      </c>
    </row>
    <row r="27" spans="1:8" ht="15.75" customHeight="1">
      <c r="A27" s="2">
        <v>1026</v>
      </c>
      <c r="B27" s="3" t="s">
        <v>58</v>
      </c>
      <c r="C27" s="3" t="s">
        <v>12</v>
      </c>
      <c r="D27" s="3" t="s">
        <v>17</v>
      </c>
      <c r="E27" s="2">
        <v>16</v>
      </c>
      <c r="F27" s="2">
        <v>25</v>
      </c>
      <c r="G27" s="4">
        <v>45506</v>
      </c>
      <c r="H27" s="5">
        <f>SUMPRODUCT(E27*F27)</f>
        <v>400</v>
      </c>
    </row>
    <row r="28" spans="1:8" ht="15.75" customHeight="1">
      <c r="A28" s="2">
        <v>1027</v>
      </c>
      <c r="B28" s="3" t="s">
        <v>59</v>
      </c>
      <c r="C28" s="3" t="s">
        <v>16</v>
      </c>
      <c r="D28" s="3" t="s">
        <v>21</v>
      </c>
      <c r="E28" s="2">
        <v>22</v>
      </c>
      <c r="F28" s="2">
        <v>5</v>
      </c>
      <c r="G28" s="4">
        <v>45537</v>
      </c>
      <c r="H28" s="5">
        <f>SUMPRODUCT(E28*F28)</f>
        <v>110</v>
      </c>
    </row>
    <row r="29" spans="1:8" ht="15.75" customHeight="1">
      <c r="A29" s="2">
        <v>1028</v>
      </c>
      <c r="B29" s="3" t="s">
        <v>60</v>
      </c>
      <c r="C29" s="3" t="s">
        <v>19</v>
      </c>
      <c r="D29" s="3" t="s">
        <v>24</v>
      </c>
      <c r="E29" s="2">
        <v>27</v>
      </c>
      <c r="F29" s="2">
        <v>8</v>
      </c>
      <c r="G29" s="4">
        <v>45567</v>
      </c>
      <c r="H29" s="5">
        <f>SUMPRODUCT(E29*F29)</f>
        <v>216</v>
      </c>
    </row>
    <row r="30" spans="1:8" ht="15.75" customHeight="1">
      <c r="A30" s="2">
        <v>1029</v>
      </c>
      <c r="B30" s="3" t="s">
        <v>61</v>
      </c>
      <c r="C30" s="3" t="s">
        <v>9</v>
      </c>
      <c r="D30" s="3" t="s">
        <v>10</v>
      </c>
      <c r="E30" s="2">
        <v>13</v>
      </c>
      <c r="F30" s="2">
        <v>50</v>
      </c>
      <c r="G30" s="4">
        <v>45628</v>
      </c>
      <c r="H30" s="5">
        <f>SUMPRODUCT(E30*F30)</f>
        <v>650</v>
      </c>
    </row>
    <row r="31" spans="1:8" ht="15.75" customHeight="1">
      <c r="A31" s="2">
        <v>1030</v>
      </c>
      <c r="B31" s="3" t="s">
        <v>62</v>
      </c>
      <c r="C31" s="3" t="s">
        <v>12</v>
      </c>
      <c r="D31" s="3" t="s">
        <v>13</v>
      </c>
      <c r="E31" s="2">
        <v>32</v>
      </c>
      <c r="F31" s="2">
        <v>10</v>
      </c>
      <c r="G31" s="2" t="s">
        <v>63</v>
      </c>
      <c r="H31" s="5">
        <f t="shared" ref="H31:H37" si="1">SUMPRODUCT(E31*F31)</f>
        <v>320</v>
      </c>
    </row>
    <row r="32" spans="1:8" ht="15.75" customHeight="1">
      <c r="A32" s="2">
        <v>1031</v>
      </c>
      <c r="B32" s="3" t="s">
        <v>64</v>
      </c>
      <c r="C32" s="3" t="s">
        <v>16</v>
      </c>
      <c r="D32" s="3" t="s">
        <v>17</v>
      </c>
      <c r="E32" s="2">
        <v>10</v>
      </c>
      <c r="F32" s="2">
        <v>25</v>
      </c>
      <c r="G32" s="2" t="s">
        <v>65</v>
      </c>
      <c r="H32" s="5">
        <f t="shared" si="1"/>
        <v>250</v>
      </c>
    </row>
    <row r="33" spans="1:8" ht="15.75" customHeight="1">
      <c r="A33" s="2">
        <v>1032</v>
      </c>
      <c r="B33" s="3" t="s">
        <v>66</v>
      </c>
      <c r="C33" s="3" t="s">
        <v>19</v>
      </c>
      <c r="D33" s="3" t="s">
        <v>21</v>
      </c>
      <c r="E33" s="2">
        <v>18</v>
      </c>
      <c r="F33" s="2">
        <v>5</v>
      </c>
      <c r="G33" s="2" t="s">
        <v>67</v>
      </c>
      <c r="H33" s="5">
        <f t="shared" si="1"/>
        <v>90</v>
      </c>
    </row>
    <row r="34" spans="1:8" ht="15.75" customHeight="1">
      <c r="A34" s="2">
        <v>1033</v>
      </c>
      <c r="B34" s="3" t="s">
        <v>68</v>
      </c>
      <c r="C34" s="3" t="s">
        <v>9</v>
      </c>
      <c r="D34" s="3" t="s">
        <v>24</v>
      </c>
      <c r="E34" s="2">
        <v>22</v>
      </c>
      <c r="F34" s="2">
        <v>8</v>
      </c>
      <c r="G34" s="2" t="s">
        <v>69</v>
      </c>
      <c r="H34" s="5">
        <f t="shared" si="1"/>
        <v>176</v>
      </c>
    </row>
    <row r="35" spans="1:8" ht="15.75" customHeight="1">
      <c r="A35" s="2">
        <v>1034</v>
      </c>
      <c r="B35" s="3" t="s">
        <v>70</v>
      </c>
      <c r="C35" s="3" t="s">
        <v>12</v>
      </c>
      <c r="D35" s="3" t="s">
        <v>10</v>
      </c>
      <c r="E35" s="2">
        <v>17</v>
      </c>
      <c r="F35" s="2">
        <v>50</v>
      </c>
      <c r="G35" s="2" t="s">
        <v>71</v>
      </c>
      <c r="H35" s="5">
        <f t="shared" si="1"/>
        <v>850</v>
      </c>
    </row>
    <row r="36" spans="1:8" ht="15.75" customHeight="1">
      <c r="A36" s="2">
        <v>1035</v>
      </c>
      <c r="B36" s="3" t="s">
        <v>72</v>
      </c>
      <c r="C36" s="3" t="s">
        <v>16</v>
      </c>
      <c r="D36" s="3" t="s">
        <v>13</v>
      </c>
      <c r="E36" s="2">
        <v>19</v>
      </c>
      <c r="F36" s="2">
        <v>10</v>
      </c>
      <c r="G36" s="2" t="s">
        <v>73</v>
      </c>
      <c r="H36" s="5">
        <f t="shared" si="1"/>
        <v>190</v>
      </c>
    </row>
    <row r="37" spans="1:8" ht="15.75" customHeight="1">
      <c r="A37" s="2">
        <v>1036</v>
      </c>
      <c r="B37" s="3" t="s">
        <v>74</v>
      </c>
      <c r="C37" s="3" t="s">
        <v>19</v>
      </c>
      <c r="D37" s="3" t="s">
        <v>17</v>
      </c>
      <c r="E37" s="2">
        <v>15</v>
      </c>
      <c r="F37" s="2">
        <v>25</v>
      </c>
      <c r="G37" s="2" t="s">
        <v>75</v>
      </c>
      <c r="H37" s="5">
        <f t="shared" si="1"/>
        <v>375</v>
      </c>
    </row>
    <row r="38" spans="1:8" ht="15.75" customHeight="1">
      <c r="A38" s="2">
        <v>1037</v>
      </c>
      <c r="B38" s="3" t="s">
        <v>76</v>
      </c>
      <c r="C38" s="3" t="s">
        <v>9</v>
      </c>
      <c r="D38" s="3" t="s">
        <v>21</v>
      </c>
      <c r="E38" s="2">
        <v>28</v>
      </c>
      <c r="F38" s="2">
        <v>5</v>
      </c>
      <c r="G38" s="2" t="s">
        <v>77</v>
      </c>
      <c r="H38" s="5">
        <f t="shared" ref="H38:H47" si="2">SUMPRODUCT(E38*F38)</f>
        <v>140</v>
      </c>
    </row>
    <row r="39" spans="1:8" ht="15.75" customHeight="1">
      <c r="A39" s="2">
        <v>1038</v>
      </c>
      <c r="B39" s="3" t="s">
        <v>78</v>
      </c>
      <c r="C39" s="3" t="s">
        <v>12</v>
      </c>
      <c r="D39" s="3" t="s">
        <v>24</v>
      </c>
      <c r="E39" s="2">
        <v>24</v>
      </c>
      <c r="F39" s="2">
        <v>8</v>
      </c>
      <c r="G39" s="2" t="s">
        <v>79</v>
      </c>
      <c r="H39" s="5">
        <f t="shared" si="2"/>
        <v>192</v>
      </c>
    </row>
    <row r="40" spans="1:8" ht="15.75" customHeight="1">
      <c r="A40" s="2">
        <v>1039</v>
      </c>
      <c r="B40" s="3" t="s">
        <v>80</v>
      </c>
      <c r="C40" s="3" t="s">
        <v>16</v>
      </c>
      <c r="D40" s="3" t="s">
        <v>10</v>
      </c>
      <c r="E40" s="2">
        <v>16</v>
      </c>
      <c r="F40" s="2">
        <v>50</v>
      </c>
      <c r="G40" s="2" t="s">
        <v>81</v>
      </c>
      <c r="H40" s="5">
        <f t="shared" si="2"/>
        <v>800</v>
      </c>
    </row>
    <row r="41" spans="1:8" ht="15.75" customHeight="1">
      <c r="A41" s="2">
        <v>1040</v>
      </c>
      <c r="B41" s="3" t="s">
        <v>82</v>
      </c>
      <c r="C41" s="3" t="s">
        <v>19</v>
      </c>
      <c r="D41" s="3" t="s">
        <v>13</v>
      </c>
      <c r="E41" s="2">
        <v>27</v>
      </c>
      <c r="F41" s="2">
        <v>10</v>
      </c>
      <c r="G41" s="2" t="s">
        <v>83</v>
      </c>
      <c r="H41" s="5">
        <f t="shared" si="2"/>
        <v>270</v>
      </c>
    </row>
    <row r="42" spans="1:8" ht="15.75" customHeight="1">
      <c r="A42" s="2">
        <v>1041</v>
      </c>
      <c r="B42" s="3" t="s">
        <v>84</v>
      </c>
      <c r="C42" s="3" t="s">
        <v>9</v>
      </c>
      <c r="D42" s="3" t="s">
        <v>17</v>
      </c>
      <c r="E42" s="2">
        <v>21</v>
      </c>
      <c r="F42" s="2">
        <v>25</v>
      </c>
      <c r="G42" s="2" t="s">
        <v>85</v>
      </c>
      <c r="H42" s="5">
        <f t="shared" si="2"/>
        <v>525</v>
      </c>
    </row>
    <row r="43" spans="1:8" ht="15.75" customHeight="1">
      <c r="A43" s="2">
        <v>1042</v>
      </c>
      <c r="B43" s="3" t="s">
        <v>86</v>
      </c>
      <c r="C43" s="3" t="s">
        <v>12</v>
      </c>
      <c r="D43" s="3" t="s">
        <v>21</v>
      </c>
      <c r="E43" s="2">
        <v>30</v>
      </c>
      <c r="F43" s="2">
        <v>5</v>
      </c>
      <c r="G43" s="2" t="s">
        <v>87</v>
      </c>
      <c r="H43" s="5">
        <f t="shared" si="2"/>
        <v>150</v>
      </c>
    </row>
    <row r="44" spans="1:8" ht="15.75" customHeight="1">
      <c r="A44" s="2">
        <v>1043</v>
      </c>
      <c r="B44" s="3" t="s">
        <v>88</v>
      </c>
      <c r="C44" s="3" t="s">
        <v>16</v>
      </c>
      <c r="D44" s="3" t="s">
        <v>24</v>
      </c>
      <c r="E44" s="2">
        <v>26</v>
      </c>
      <c r="F44" s="2">
        <v>8</v>
      </c>
      <c r="G44" s="4">
        <v>45294</v>
      </c>
      <c r="H44" s="5">
        <f t="shared" si="2"/>
        <v>208</v>
      </c>
    </row>
    <row r="45" spans="1:8" ht="15.75" customHeight="1">
      <c r="A45" s="2">
        <v>1044</v>
      </c>
      <c r="B45" s="3" t="s">
        <v>89</v>
      </c>
      <c r="C45" s="3" t="s">
        <v>19</v>
      </c>
      <c r="D45" s="3" t="s">
        <v>10</v>
      </c>
      <c r="E45" s="2">
        <v>14</v>
      </c>
      <c r="F45" s="2">
        <v>50</v>
      </c>
      <c r="G45" s="4">
        <v>45325</v>
      </c>
      <c r="H45" s="5">
        <f t="shared" si="2"/>
        <v>700</v>
      </c>
    </row>
    <row r="46" spans="1:8" ht="15.75" customHeight="1">
      <c r="A46" s="2">
        <v>1045</v>
      </c>
      <c r="B46" s="3" t="s">
        <v>90</v>
      </c>
      <c r="C46" s="3" t="s">
        <v>9</v>
      </c>
      <c r="D46" s="3" t="s">
        <v>13</v>
      </c>
      <c r="E46" s="2">
        <v>20</v>
      </c>
      <c r="F46" s="2">
        <v>10</v>
      </c>
      <c r="G46" s="4">
        <v>45354</v>
      </c>
      <c r="H46" s="5">
        <f t="shared" si="2"/>
        <v>200</v>
      </c>
    </row>
    <row r="47" spans="1:8" ht="15.75" customHeight="1">
      <c r="A47" s="2">
        <v>1046</v>
      </c>
      <c r="B47" s="3" t="s">
        <v>91</v>
      </c>
      <c r="C47" s="3" t="s">
        <v>12</v>
      </c>
      <c r="D47" s="3" t="s">
        <v>17</v>
      </c>
      <c r="E47" s="2">
        <v>17</v>
      </c>
      <c r="F47" s="2">
        <v>25</v>
      </c>
      <c r="G47" s="4">
        <v>45385</v>
      </c>
      <c r="H47" s="5">
        <f t="shared" si="2"/>
        <v>425</v>
      </c>
    </row>
    <row r="48" spans="1:8" ht="15.75" customHeight="1">
      <c r="A48" s="2">
        <v>1047</v>
      </c>
      <c r="B48" s="3" t="s">
        <v>92</v>
      </c>
      <c r="C48" s="3" t="s">
        <v>16</v>
      </c>
      <c r="D48" s="3" t="s">
        <v>21</v>
      </c>
      <c r="E48" s="2">
        <v>19</v>
      </c>
      <c r="F48" s="2">
        <v>5</v>
      </c>
      <c r="G48" s="4">
        <v>45415</v>
      </c>
      <c r="H48" s="5">
        <f>SUMPRODUCT(E48*F48)</f>
        <v>95</v>
      </c>
    </row>
    <row r="49" spans="1:8" ht="15.75" customHeight="1">
      <c r="A49" s="2">
        <v>1048</v>
      </c>
      <c r="B49" s="3" t="s">
        <v>93</v>
      </c>
      <c r="C49" s="3" t="s">
        <v>19</v>
      </c>
      <c r="D49" s="3" t="s">
        <v>24</v>
      </c>
      <c r="E49" s="2">
        <v>32</v>
      </c>
      <c r="F49" s="2">
        <v>8</v>
      </c>
      <c r="G49" s="4">
        <v>45446</v>
      </c>
      <c r="H49" s="5">
        <f>SUMPRODUCT(E49*F49)</f>
        <v>256</v>
      </c>
    </row>
    <row r="50" spans="1:8" ht="15.75" customHeight="1">
      <c r="A50" s="2">
        <v>1049</v>
      </c>
      <c r="B50" s="3" t="s">
        <v>94</v>
      </c>
      <c r="C50" s="3" t="s">
        <v>9</v>
      </c>
      <c r="D50" s="3" t="s">
        <v>10</v>
      </c>
      <c r="E50" s="2">
        <v>12</v>
      </c>
      <c r="F50" s="2">
        <v>50</v>
      </c>
      <c r="G50" s="4">
        <v>45476</v>
      </c>
      <c r="H50" s="5">
        <f>SUMPRODUCT(E50*F50)</f>
        <v>600</v>
      </c>
    </row>
    <row r="51" spans="1:8" ht="15.75" customHeight="1">
      <c r="A51" s="2">
        <v>1050</v>
      </c>
      <c r="B51" s="3" t="s">
        <v>95</v>
      </c>
      <c r="C51" s="3" t="s">
        <v>12</v>
      </c>
      <c r="D51" s="3" t="s">
        <v>13</v>
      </c>
      <c r="E51" s="2">
        <v>25</v>
      </c>
      <c r="F51" s="2">
        <v>10</v>
      </c>
      <c r="G51" s="4">
        <v>45507</v>
      </c>
      <c r="H51" s="5">
        <f>SUMPRODUCT(E51*F51)</f>
        <v>250</v>
      </c>
    </row>
    <row r="52" spans="1:8" ht="15.75" customHeight="1">
      <c r="A52" s="3"/>
      <c r="B52" s="3"/>
      <c r="C52" s="3"/>
      <c r="D52" s="3"/>
      <c r="E52" s="3"/>
      <c r="F52" s="3"/>
      <c r="G52" s="3"/>
    </row>
    <row r="53" spans="1:8" ht="15.75" customHeight="1">
      <c r="A53" s="3"/>
      <c r="B53" s="3"/>
      <c r="C53" s="3"/>
      <c r="D53" s="3"/>
      <c r="E53" s="3"/>
      <c r="F53" s="3"/>
      <c r="G53" s="3"/>
    </row>
  </sheetData>
  <autoFilter ref="A1:G51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 Sayapaneni</cp:lastModifiedBy>
  <dcterms:created xsi:type="dcterms:W3CDTF">2025-12-06T10:04:21Z</dcterms:created>
  <dcterms:modified xsi:type="dcterms:W3CDTF">2025-12-06T10:54:51Z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37B1C27AD8CE46C5BD360F8576F85AF8_13</vt:lpwstr>
  </property>
  <property fmtid="{D5CDD505-2E9C-101B-9397-08002B2CF9AE}" pid="3" name="KSOProductBuildVer">
    <vt:lpwstr>1033-12.2.0.23155</vt:lpwstr>
  </property>
</Properties>
</file>