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1FR0V0EWJJcmHTNMpYcmPznMrN3H02NAADqme0O4E4="/>
    </ext>
  </extLst>
</workbook>
</file>

<file path=xl/sharedStrings.xml><?xml version="1.0" encoding="utf-8"?>
<sst xmlns="http://schemas.openxmlformats.org/spreadsheetml/2006/main" count="75" uniqueCount="59">
  <si>
    <t xml:space="preserve">Q1. </t>
  </si>
  <si>
    <t xml:space="preserve">Student name </t>
  </si>
  <si>
    <t>Marks</t>
  </si>
  <si>
    <t>Result</t>
  </si>
  <si>
    <t>Riya</t>
  </si>
  <si>
    <t>Siya</t>
  </si>
  <si>
    <t>Raju</t>
  </si>
  <si>
    <t>Rahul</t>
  </si>
  <si>
    <t>Ram</t>
  </si>
  <si>
    <t>Q2.</t>
  </si>
  <si>
    <t>Employee</t>
  </si>
  <si>
    <t>Sales</t>
  </si>
  <si>
    <t>Attendance</t>
  </si>
  <si>
    <t>Bonus</t>
  </si>
  <si>
    <t>Arjun</t>
  </si>
  <si>
    <t>Simran</t>
  </si>
  <si>
    <t>Rohit</t>
  </si>
  <si>
    <t>Anjali</t>
  </si>
  <si>
    <t>Q3.</t>
  </si>
  <si>
    <t xml:space="preserve">Student </t>
  </si>
  <si>
    <t>Raj</t>
  </si>
  <si>
    <t>Neha</t>
  </si>
  <si>
    <t>Vivak</t>
  </si>
  <si>
    <t>Rani</t>
  </si>
  <si>
    <t>Sneha</t>
  </si>
  <si>
    <t>Q4.</t>
  </si>
  <si>
    <t>EmpId</t>
  </si>
  <si>
    <t>Name</t>
  </si>
  <si>
    <t>Departmenet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</si>
  <si>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</si>
  <si>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</si>
  <si>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</si>
  <si>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</si>
  <si>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</si>
  <si>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</si>
  <si>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</si>
  <si>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</si>
  <si>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</si>
  <si>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r>
      <rPr>
        <rFont val="Calibri"/>
        <b/>
        <color theme="1"/>
        <sz val="11.0"/>
      </rPr>
      <t>VLOOKUP</t>
    </r>
    <r>
      <rPr>
        <rFont val="Calibri"/>
        <b val="0"/>
        <color theme="1"/>
        <sz val="11.0"/>
      </rPr>
      <t xml:space="preserve"> is designed to search for a value in the first column of a range (here EmpId) and return a value from another column in the same row.</t>
    </r>
  </si>
  <si>
    <t>Q5.</t>
  </si>
  <si>
    <t>Sales Amount</t>
  </si>
  <si>
    <t>Commision Rate</t>
  </si>
  <si>
    <t>Q6.</t>
  </si>
  <si>
    <t>Employee Name</t>
  </si>
  <si>
    <t>Leaves Taken</t>
  </si>
  <si>
    <t>Leaves Allwoed</t>
  </si>
  <si>
    <t>Leave Result</t>
  </si>
  <si>
    <t>Alex</t>
  </si>
  <si>
    <t>Bob</t>
  </si>
  <si>
    <t>Anna</t>
  </si>
  <si>
    <t>Q7</t>
  </si>
  <si>
    <t>EMPID</t>
  </si>
  <si>
    <t>Salary</t>
  </si>
  <si>
    <t>Resukt</t>
  </si>
  <si>
    <t>E105</t>
  </si>
  <si>
    <t>E106</t>
  </si>
  <si>
    <t>Q8</t>
  </si>
  <si>
    <t>E303</t>
  </si>
  <si>
    <t>E301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</si>
</sst>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164" xfId="0" applyBorder="1" applyFont="1" applyNumberFormat="1"/>
    <xf borderId="0" fillId="0" fontId="3" numFmtId="0" xfId="0" applyFont="1"/>
    <xf borderId="1" fillId="0" fontId="1" numFmtId="0" xfId="0" applyBorder="1" applyFont="1"/>
    <xf borderId="1" fillId="0" fontId="2" numFmtId="9" xfId="0" applyBorder="1" applyFont="1" applyNumberFormat="1"/>
    <xf borderId="1" fillId="0" fontId="1" numFmtId="9" xfId="0" applyBorder="1" applyFont="1" applyNumberForma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57"/>
    <col customWidth="1" min="3" max="3" width="16.0"/>
    <col customWidth="1" min="4" max="4" width="13.86"/>
    <col customWidth="1" min="5" max="5" width="9.86"/>
    <col customWidth="1" min="6" max="6" width="15.71"/>
    <col customWidth="1" min="7" max="7" width="12.86"/>
    <col customWidth="1" min="8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>
        <v>45.0</v>
      </c>
      <c r="C3" s="2" t="str">
        <f t="shared" ref="C3:C7" si="1">IF($B3&gt;=40,"Pass","Fail")</f>
        <v>Pass</v>
      </c>
    </row>
    <row r="4">
      <c r="A4" s="2" t="s">
        <v>5</v>
      </c>
      <c r="B4" s="2">
        <v>72.0</v>
      </c>
      <c r="C4" s="2" t="str">
        <f t="shared" si="1"/>
        <v>Pass</v>
      </c>
    </row>
    <row r="5">
      <c r="A5" s="2" t="s">
        <v>6</v>
      </c>
      <c r="B5" s="2">
        <v>55.0</v>
      </c>
      <c r="C5" s="2" t="str">
        <f t="shared" si="1"/>
        <v>Pass</v>
      </c>
    </row>
    <row r="6">
      <c r="A6" s="2" t="s">
        <v>7</v>
      </c>
      <c r="B6" s="2">
        <v>80.0</v>
      </c>
      <c r="C6" s="2" t="str">
        <f t="shared" si="1"/>
        <v>Pass</v>
      </c>
    </row>
    <row r="7">
      <c r="A7" s="2" t="s">
        <v>8</v>
      </c>
      <c r="B7" s="2">
        <v>30.0</v>
      </c>
      <c r="C7" s="2" t="str">
        <f t="shared" si="1"/>
        <v>Fail</v>
      </c>
    </row>
    <row r="10">
      <c r="A10" s="1" t="s">
        <v>9</v>
      </c>
    </row>
    <row r="11">
      <c r="A11" s="2" t="s">
        <v>10</v>
      </c>
      <c r="B11" s="2" t="s">
        <v>11</v>
      </c>
      <c r="C11" s="2" t="s">
        <v>12</v>
      </c>
      <c r="D11" s="2" t="s">
        <v>13</v>
      </c>
    </row>
    <row r="12">
      <c r="A12" s="2" t="s">
        <v>14</v>
      </c>
      <c r="B12" s="2">
        <v>55000.0</v>
      </c>
      <c r="C12" s="2">
        <v>95.0</v>
      </c>
      <c r="D12" s="2" t="str">
        <f t="shared" ref="D12:D15" si="2">IF(AND($B12&gt;40000, $C12&gt;=90), "Bonus", "No Bonus")</f>
        <v>Bonus</v>
      </c>
    </row>
    <row r="13">
      <c r="A13" s="2" t="s">
        <v>15</v>
      </c>
      <c r="B13" s="2">
        <v>65000.0</v>
      </c>
      <c r="C13" s="2">
        <v>85.0</v>
      </c>
      <c r="D13" s="2" t="str">
        <f t="shared" si="2"/>
        <v>No Bonus</v>
      </c>
    </row>
    <row r="14">
      <c r="A14" s="2" t="s">
        <v>16</v>
      </c>
      <c r="B14" s="2">
        <v>30000.0</v>
      </c>
      <c r="C14" s="2">
        <v>90.0</v>
      </c>
      <c r="D14" s="2" t="str">
        <f t="shared" si="2"/>
        <v>No Bonus</v>
      </c>
    </row>
    <row r="15">
      <c r="A15" s="2" t="s">
        <v>17</v>
      </c>
      <c r="B15" s="2">
        <v>25000.0</v>
      </c>
      <c r="C15" s="2">
        <v>65.0</v>
      </c>
      <c r="D15" s="2" t="str">
        <f t="shared" si="2"/>
        <v>No Bonus</v>
      </c>
    </row>
    <row r="18">
      <c r="A18" s="1" t="s">
        <v>18</v>
      </c>
    </row>
    <row r="19">
      <c r="A19" s="2" t="s">
        <v>19</v>
      </c>
      <c r="B19" s="2" t="s">
        <v>2</v>
      </c>
      <c r="C19" s="2" t="s">
        <v>3</v>
      </c>
    </row>
    <row r="20">
      <c r="A20" s="2" t="s">
        <v>20</v>
      </c>
      <c r="B20" s="2">
        <v>85.0</v>
      </c>
      <c r="C20" s="3" t="str">
        <f t="shared" ref="C20:C23" si="3">IF($B20&gt;=90,"A", IF($B20&gt;=75,"B",IF($B20&gt;=50,"C","F")))</f>
        <v>B</v>
      </c>
    </row>
    <row r="21">
      <c r="A21" s="2" t="s">
        <v>21</v>
      </c>
      <c r="B21" s="2">
        <v>96.0</v>
      </c>
      <c r="C21" s="3" t="str">
        <f t="shared" si="3"/>
        <v>A</v>
      </c>
    </row>
    <row r="22">
      <c r="A22" s="2" t="s">
        <v>22</v>
      </c>
      <c r="B22" s="2">
        <v>57.0</v>
      </c>
      <c r="C22" s="3" t="str">
        <f t="shared" si="3"/>
        <v>C</v>
      </c>
    </row>
    <row r="23">
      <c r="A23" s="2" t="s">
        <v>23</v>
      </c>
      <c r="B23" s="2">
        <v>92.0</v>
      </c>
      <c r="C23" s="3" t="str">
        <f t="shared" si="3"/>
        <v>A</v>
      </c>
    </row>
    <row r="24">
      <c r="A24" s="2" t="s">
        <v>24</v>
      </c>
      <c r="B24" s="2">
        <v>75.0</v>
      </c>
      <c r="C24" s="3" t="str">
        <f>IF($B24&gt;=90,"A",IF($B24&gt;=75,"B",IF($B24&gt;=50,"C","F")))</f>
        <v>B</v>
      </c>
    </row>
    <row r="28">
      <c r="A28" s="1" t="s">
        <v>25</v>
      </c>
    </row>
    <row r="29">
      <c r="A29" s="2" t="s">
        <v>26</v>
      </c>
      <c r="B29" s="2" t="s">
        <v>27</v>
      </c>
      <c r="C29" s="2" t="s">
        <v>28</v>
      </c>
    </row>
    <row r="30">
      <c r="A30" s="2" t="s">
        <v>29</v>
      </c>
      <c r="B30" s="2" t="s">
        <v>6</v>
      </c>
      <c r="C30" s="2" t="s">
        <v>30</v>
      </c>
      <c r="D30" s="1" t="str">
        <f>VLOOKUP("E103",A30:C33,3,FALSE)</f>
        <v>Finance</v>
      </c>
    </row>
    <row r="31">
      <c r="A31" s="2" t="s">
        <v>31</v>
      </c>
      <c r="B31" s="2" t="s">
        <v>4</v>
      </c>
      <c r="C31" s="2" t="s">
        <v>32</v>
      </c>
    </row>
    <row r="32">
      <c r="A32" s="2" t="s">
        <v>33</v>
      </c>
      <c r="B32" s="2" t="s">
        <v>34</v>
      </c>
      <c r="C32" s="2" t="s">
        <v>35</v>
      </c>
    </row>
    <row r="33" ht="15.75" customHeight="1">
      <c r="A33" s="2" t="s">
        <v>36</v>
      </c>
      <c r="B33" s="2" t="s">
        <v>37</v>
      </c>
      <c r="C33" s="2" t="s">
        <v>11</v>
      </c>
    </row>
    <row r="34" ht="15.75" customHeight="1"/>
    <row r="35" ht="15.75" customHeight="1">
      <c r="A35" s="4" t="s">
        <v>38</v>
      </c>
    </row>
    <row r="36" ht="15.75" customHeight="1"/>
    <row r="37" ht="15.75" customHeight="1"/>
    <row r="38" ht="15.75" customHeight="1"/>
    <row r="39" ht="15.75" customHeight="1">
      <c r="A39" s="1" t="s">
        <v>39</v>
      </c>
    </row>
    <row r="40" ht="15.75" customHeight="1">
      <c r="A40" s="5" t="s">
        <v>40</v>
      </c>
      <c r="B40" s="5" t="s">
        <v>41</v>
      </c>
      <c r="C40" s="5"/>
    </row>
    <row r="41" ht="15.75" customHeight="1">
      <c r="A41" s="5">
        <v>0.0</v>
      </c>
      <c r="B41" s="6">
        <v>0.05</v>
      </c>
      <c r="C41" s="7">
        <f t="shared" ref="C41:C44" si="4">VLOOKUP($A41,A41:B44,2, TRUE)</f>
        <v>0.05</v>
      </c>
    </row>
    <row r="42" ht="15.75" customHeight="1">
      <c r="A42" s="5">
        <v>20000.0</v>
      </c>
      <c r="B42" s="6">
        <v>0.1</v>
      </c>
      <c r="C42" s="7">
        <f t="shared" si="4"/>
        <v>0.1</v>
      </c>
    </row>
    <row r="43" ht="15.75" customHeight="1">
      <c r="A43" s="5">
        <v>50000.0</v>
      </c>
      <c r="B43" s="6">
        <v>0.15</v>
      </c>
      <c r="C43" s="7">
        <f t="shared" si="4"/>
        <v>0.15</v>
      </c>
    </row>
    <row r="44" ht="15.75" customHeight="1">
      <c r="A44" s="5">
        <v>80000.0</v>
      </c>
      <c r="B44" s="6">
        <v>0.2</v>
      </c>
      <c r="C44" s="7">
        <f t="shared" si="4"/>
        <v>0.2</v>
      </c>
    </row>
    <row r="45" ht="15.75" customHeight="1"/>
    <row r="46" ht="15.75" customHeight="1"/>
    <row r="47" ht="15.75" customHeight="1"/>
    <row r="48" ht="15.75" customHeight="1">
      <c r="A48" s="1" t="s">
        <v>42</v>
      </c>
    </row>
    <row r="49" ht="15.75" customHeight="1">
      <c r="A49" s="5" t="s">
        <v>43</v>
      </c>
      <c r="B49" s="5" t="s">
        <v>44</v>
      </c>
      <c r="C49" s="5" t="s">
        <v>45</v>
      </c>
      <c r="D49" s="8" t="s">
        <v>46</v>
      </c>
    </row>
    <row r="50" ht="15.75" customHeight="1">
      <c r="A50" s="5" t="s">
        <v>47</v>
      </c>
      <c r="B50" s="5">
        <v>10.0</v>
      </c>
      <c r="C50" s="5">
        <v>12.0</v>
      </c>
      <c r="D50" s="1" t="str">
        <f t="shared" ref="D50:D52" si="5">if($B50&gt;$C50,"Exceeded","Ok")</f>
        <v>Ok</v>
      </c>
    </row>
    <row r="51" ht="15.75" customHeight="1">
      <c r="A51" s="5" t="s">
        <v>48</v>
      </c>
      <c r="B51" s="5">
        <v>10.0</v>
      </c>
      <c r="C51" s="5">
        <v>15.0</v>
      </c>
      <c r="D51" s="1" t="str">
        <f t="shared" si="5"/>
        <v>Ok</v>
      </c>
    </row>
    <row r="52" ht="15.75" customHeight="1">
      <c r="A52" s="5" t="s">
        <v>49</v>
      </c>
      <c r="B52" s="5">
        <v>8.0</v>
      </c>
      <c r="C52" s="5">
        <v>12.0</v>
      </c>
      <c r="D52" s="1" t="str">
        <f t="shared" si="5"/>
        <v>Ok</v>
      </c>
    </row>
    <row r="53" ht="15.75" customHeight="1"/>
    <row r="54" ht="15.75" customHeight="1"/>
    <row r="55" ht="15.75" customHeight="1">
      <c r="A55" s="8" t="s">
        <v>50</v>
      </c>
    </row>
    <row r="56" ht="15.75" customHeight="1">
      <c r="A56" s="9" t="s">
        <v>51</v>
      </c>
      <c r="B56" s="9" t="s">
        <v>52</v>
      </c>
      <c r="C56" s="9" t="s">
        <v>53</v>
      </c>
    </row>
    <row r="57" ht="15.75" customHeight="1">
      <c r="A57" s="9" t="s">
        <v>36</v>
      </c>
      <c r="B57" s="9">
        <v>55000.0</v>
      </c>
      <c r="C57" s="5">
        <f t="array" ref="C57">Index(B57:B60,Match("E105",A57:A60,0))</f>
        <v>72000</v>
      </c>
    </row>
    <row r="58" ht="15.75" customHeight="1">
      <c r="A58" s="9" t="s">
        <v>54</v>
      </c>
      <c r="B58" s="9">
        <v>72000.0</v>
      </c>
      <c r="C58" s="5"/>
    </row>
    <row r="59" ht="15.75" customHeight="1">
      <c r="A59" s="9" t="s">
        <v>55</v>
      </c>
      <c r="B59" s="9">
        <v>62000.0</v>
      </c>
      <c r="C59" s="5"/>
    </row>
    <row r="60" ht="15.75" customHeight="1">
      <c r="A60" s="9" t="s">
        <v>31</v>
      </c>
      <c r="B60" s="9">
        <v>41000.0</v>
      </c>
      <c r="C60" s="5"/>
    </row>
    <row r="61" ht="15.75" customHeight="1"/>
    <row r="62" ht="15.75" customHeight="1"/>
    <row r="63" ht="15.75" customHeight="1"/>
    <row r="64" ht="15.75" customHeight="1">
      <c r="A64" s="8" t="s">
        <v>56</v>
      </c>
    </row>
    <row r="65" ht="15.75" customHeight="1">
      <c r="A65" s="9" t="s">
        <v>51</v>
      </c>
      <c r="B65" s="9" t="s">
        <v>52</v>
      </c>
      <c r="C65" s="9" t="s">
        <v>3</v>
      </c>
    </row>
    <row r="66" ht="15.75" customHeight="1">
      <c r="A66" s="9" t="s">
        <v>29</v>
      </c>
      <c r="B66" s="9" t="s">
        <v>32</v>
      </c>
      <c r="C66" s="5" t="str">
        <f t="array" ref="C66">Xlookup("E303",A66:A69,B66:B69)</f>
        <v>IT</v>
      </c>
    </row>
    <row r="67" ht="15.75" customHeight="1">
      <c r="A67" s="9" t="s">
        <v>57</v>
      </c>
      <c r="B67" s="9" t="s">
        <v>30</v>
      </c>
      <c r="C67" s="5"/>
    </row>
    <row r="68" ht="15.75" customHeight="1">
      <c r="A68" s="9" t="s">
        <v>55</v>
      </c>
      <c r="B68" s="9" t="s">
        <v>11</v>
      </c>
      <c r="C68" s="5"/>
    </row>
    <row r="69" ht="15.75" customHeight="1">
      <c r="A69" s="9" t="s">
        <v>58</v>
      </c>
      <c r="B69" s="9" t="s">
        <v>35</v>
      </c>
      <c r="C69" s="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2025-12-09T07:33:40Z</dcterms:created>
  <dc:creator>lakshmi Sayapaneni</dc:creator>
</cp:coreProperties>
</file>