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mi\Downloads\"/>
    </mc:Choice>
  </mc:AlternateContent>
  <xr:revisionPtr revIDLastSave="0" documentId="13_ncr:1_{1662460F-25AD-49EA-9C1E-479336130AC8}" xr6:coauthVersionLast="47" xr6:coauthVersionMax="47" xr10:uidLastSave="{00000000-0000-0000-0000-000000000000}"/>
  <bookViews>
    <workbookView xWindow="-120" yWindow="-120" windowWidth="20730" windowHeight="11040" xr2:uid="{6FBA0F94-791D-4B23-9953-3F68D8D2E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0" i="1" l="1"/>
  <c r="B100" i="1"/>
  <c r="B99" i="1"/>
  <c r="C98" i="1"/>
  <c r="B98" i="1"/>
  <c r="B97" i="1"/>
  <c r="B96" i="1"/>
  <c r="B82" i="1"/>
  <c r="B81" i="1"/>
  <c r="B52" i="1"/>
  <c r="E43" i="1"/>
  <c r="B43" i="1"/>
  <c r="D20" i="1"/>
  <c r="B8" i="1"/>
  <c r="B32" i="1"/>
  <c r="B19" i="1"/>
  <c r="D19" i="1"/>
  <c r="B21" i="1" s="1"/>
</calcChain>
</file>

<file path=xl/sharedStrings.xml><?xml version="1.0" encoding="utf-8"?>
<sst xmlns="http://schemas.openxmlformats.org/spreadsheetml/2006/main" count="54" uniqueCount="47">
  <si>
    <t>Q1</t>
  </si>
  <si>
    <t>Ans</t>
  </si>
  <si>
    <t xml:space="preserve">Q2. </t>
  </si>
  <si>
    <t>Mean</t>
  </si>
  <si>
    <t>Count</t>
  </si>
  <si>
    <t>Sum</t>
  </si>
  <si>
    <t>Sum/Count</t>
  </si>
  <si>
    <t>Q3</t>
  </si>
  <si>
    <t>Q4</t>
  </si>
  <si>
    <t>The data has no extreme values, and sales are fairly consistent.</t>
  </si>
  <si>
    <t>The average score is around 16, which  shows the class perfomed well overall, with most students scoring above average.</t>
  </si>
  <si>
    <t>To alculate the mode I used mode.mult formula.</t>
  </si>
  <si>
    <t>it Shows that size 8 is the most sold size, so the manager should stock more shoes of size 8 to meet customer demand.</t>
  </si>
  <si>
    <t xml:space="preserve">median </t>
  </si>
  <si>
    <t>Q5</t>
  </si>
  <si>
    <t>Ans:</t>
  </si>
  <si>
    <t>Q6</t>
  </si>
  <si>
    <t>Q7</t>
  </si>
  <si>
    <t>Company B : Variance=15</t>
  </si>
  <si>
    <t>Company A :Variance=6</t>
  </si>
  <si>
    <t xml:space="preserve">Which company is more consistent </t>
  </si>
  <si>
    <t>Company A is more consistent.</t>
  </si>
  <si>
    <t>A smaller variance means the delivery times are closer to mean, so deliveries are more predictable.</t>
  </si>
  <si>
    <t>Q8</t>
  </si>
  <si>
    <t>Coin A: standard deviation = $30</t>
  </si>
  <si>
    <t>Coin B: standard deviation = $120</t>
  </si>
  <si>
    <t>Coin B is riskier to invest in.</t>
  </si>
  <si>
    <t>Q9</t>
  </si>
  <si>
    <t>A higher standard deviation means larger price fluctuations, which indicates higher volatility.</t>
  </si>
  <si>
    <t>mean</t>
  </si>
  <si>
    <t>Standard Deviation</t>
  </si>
  <si>
    <t>The mean of 414 kWh shows the family’s typical monthly electricity usage.</t>
  </si>
  <si>
    <t>The standard deviation of about 20.6 kWh indicates that monthly usage does not vary much from the average.</t>
  </si>
  <si>
    <t>Q10</t>
  </si>
  <si>
    <t xml:space="preserve">Ans: </t>
  </si>
  <si>
    <t>Median</t>
  </si>
  <si>
    <t>Mode</t>
  </si>
  <si>
    <t>Range</t>
  </si>
  <si>
    <t xml:space="preserve">Standared Deviation </t>
  </si>
  <si>
    <t>The mean (~19.6 points) shows the player typically scores around 20 points per game.</t>
  </si>
  <si>
    <t>The median (19.5) being close to the mean indicates a balanced scoring pattern with no extreme outliers.</t>
  </si>
  <si>
    <t>No mode suggests the player’s scoring varies slightly each game rather than repeating the same score.</t>
  </si>
  <si>
    <t>The range of 10 points shows the difference between the best and worst performances.</t>
  </si>
  <si>
    <t>The low standard deviation (~2.9) means the player’s scoring is consistent, usually staying close to the average.</t>
  </si>
  <si>
    <t>And:</t>
  </si>
  <si>
    <t>The range of 22 kg shows how much the weekly harvest can vary.</t>
  </si>
  <si>
    <t>A range of 15 minutes shows there is a noticeable variation in how long the student takes to finish the puzzle each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</si>
</sst>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404E-F20E-43B3-A07D-0F1044D81B1E}">
  <dimension ref="A1:F100"/>
  <sheetViews>
    <sheetView tabSelected="1" topLeftCell="A33" workbookViewId="0">
      <selection activeCell="F38" sqref="F38"/>
    </sheetView>
  </sheetViews>
  <sheetFormatPr defaultRowHeight="15" x14ac:dyDescent="0.25"/>
  <sheetData>
    <row r="1" spans="1:3" x14ac:dyDescent="0.25">
      <c r="A1" t="s">
        <v>0</v>
      </c>
      <c r="B1">
        <v>10</v>
      </c>
    </row>
    <row r="2" spans="1:3" x14ac:dyDescent="0.25">
      <c r="B2">
        <v>12</v>
      </c>
    </row>
    <row r="3" spans="1:3" x14ac:dyDescent="0.25">
      <c r="B3">
        <v>11</v>
      </c>
    </row>
    <row r="4" spans="1:3" x14ac:dyDescent="0.25">
      <c r="B4">
        <v>15</v>
      </c>
    </row>
    <row r="5" spans="1:3" x14ac:dyDescent="0.25">
      <c r="B5">
        <v>14</v>
      </c>
    </row>
    <row r="6" spans="1:3" x14ac:dyDescent="0.25">
      <c r="B6">
        <v>13</v>
      </c>
    </row>
    <row r="7" spans="1:3" x14ac:dyDescent="0.25">
      <c r="B7">
        <v>12</v>
      </c>
    </row>
    <row r="8" spans="1:3" x14ac:dyDescent="0.25">
      <c r="A8" t="s">
        <v>1</v>
      </c>
      <c r="B8">
        <f>AVERAGE(B1:B7)</f>
        <v>12.428571428571429</v>
      </c>
      <c r="C8" t="s">
        <v>9</v>
      </c>
    </row>
    <row r="11" spans="1:3" x14ac:dyDescent="0.25">
      <c r="A11" t="s">
        <v>2</v>
      </c>
      <c r="B11">
        <v>12</v>
      </c>
    </row>
    <row r="12" spans="1:3" x14ac:dyDescent="0.25">
      <c r="B12">
        <v>15</v>
      </c>
    </row>
    <row r="13" spans="1:3" x14ac:dyDescent="0.25">
      <c r="B13">
        <v>14</v>
      </c>
    </row>
    <row r="14" spans="1:3" x14ac:dyDescent="0.25">
      <c r="B14">
        <v>16</v>
      </c>
    </row>
    <row r="15" spans="1:3" x14ac:dyDescent="0.25">
      <c r="B15">
        <v>18</v>
      </c>
    </row>
    <row r="16" spans="1:3" x14ac:dyDescent="0.25">
      <c r="B16">
        <v>20</v>
      </c>
    </row>
    <row r="17" spans="1:6" x14ac:dyDescent="0.25">
      <c r="B17">
        <v>19</v>
      </c>
    </row>
    <row r="18" spans="1:6" x14ac:dyDescent="0.25">
      <c r="A18" t="s">
        <v>1</v>
      </c>
    </row>
    <row r="19" spans="1:6" x14ac:dyDescent="0.25">
      <c r="A19" t="s">
        <v>4</v>
      </c>
      <c r="B19">
        <f>COUNT(B11:B17)</f>
        <v>7</v>
      </c>
      <c r="C19" t="s">
        <v>5</v>
      </c>
      <c r="D19">
        <f>SUM(B11:B17)</f>
        <v>114</v>
      </c>
    </row>
    <row r="20" spans="1:6" x14ac:dyDescent="0.25">
      <c r="A20" t="s">
        <v>3</v>
      </c>
      <c r="B20" t="s">
        <v>6</v>
      </c>
      <c r="D20">
        <f>AVERAGE(B11:B17)</f>
        <v>16.285714285714285</v>
      </c>
      <c r="F20" t="s">
        <v>10</v>
      </c>
    </row>
    <row r="21" spans="1:6" x14ac:dyDescent="0.25">
      <c r="B21">
        <f>D19/B19</f>
        <v>16.285714285714285</v>
      </c>
    </row>
    <row r="24" spans="1:6" x14ac:dyDescent="0.25">
      <c r="A24" t="s">
        <v>7</v>
      </c>
      <c r="B24">
        <v>7</v>
      </c>
    </row>
    <row r="25" spans="1:6" x14ac:dyDescent="0.25">
      <c r="B25">
        <v>8</v>
      </c>
    </row>
    <row r="26" spans="1:6" x14ac:dyDescent="0.25">
      <c r="B26">
        <v>9</v>
      </c>
    </row>
    <row r="27" spans="1:6" x14ac:dyDescent="0.25">
      <c r="B27">
        <v>8</v>
      </c>
    </row>
    <row r="28" spans="1:6" x14ac:dyDescent="0.25">
      <c r="B28">
        <v>8</v>
      </c>
    </row>
    <row r="29" spans="1:6" x14ac:dyDescent="0.25">
      <c r="B29">
        <v>10</v>
      </c>
    </row>
    <row r="30" spans="1:6" x14ac:dyDescent="0.25">
      <c r="B30">
        <v>7</v>
      </c>
    </row>
    <row r="31" spans="1:6" x14ac:dyDescent="0.25">
      <c r="B31">
        <v>9</v>
      </c>
    </row>
    <row r="32" spans="1:6" x14ac:dyDescent="0.25">
      <c r="A32" t="s">
        <v>1</v>
      </c>
      <c r="B32">
        <f>_xlfn.MODE.MULT(B24:B31)</f>
        <v>8</v>
      </c>
    </row>
    <row r="33" spans="1:5" x14ac:dyDescent="0.25">
      <c r="A33" t="s">
        <v>11</v>
      </c>
    </row>
    <row r="34" spans="1:5" x14ac:dyDescent="0.25">
      <c r="A34" t="s">
        <v>12</v>
      </c>
    </row>
    <row r="38" spans="1:5" x14ac:dyDescent="0.25">
      <c r="A38" t="s">
        <v>8</v>
      </c>
      <c r="B38">
        <v>8000</v>
      </c>
    </row>
    <row r="39" spans="1:5" x14ac:dyDescent="0.25">
      <c r="B39">
        <v>9500</v>
      </c>
    </row>
    <row r="40" spans="1:5" x14ac:dyDescent="0.25">
      <c r="B40">
        <v>10200</v>
      </c>
    </row>
    <row r="41" spans="1:5" x14ac:dyDescent="0.25">
      <c r="B41">
        <v>11000</v>
      </c>
    </row>
    <row r="42" spans="1:5" x14ac:dyDescent="0.25">
      <c r="B42">
        <v>50000</v>
      </c>
    </row>
    <row r="43" spans="1:5" x14ac:dyDescent="0.25">
      <c r="A43" t="s">
        <v>3</v>
      </c>
      <c r="B43">
        <f>AVERAGE(B38:B42)</f>
        <v>17740</v>
      </c>
      <c r="D43" t="s">
        <v>13</v>
      </c>
      <c r="E43">
        <f>MEDIAN(B38:B42)</f>
        <v>10200</v>
      </c>
    </row>
    <row r="47" spans="1:5" x14ac:dyDescent="0.25">
      <c r="A47" t="s">
        <v>14</v>
      </c>
      <c r="B47">
        <v>25</v>
      </c>
    </row>
    <row r="48" spans="1:5" x14ac:dyDescent="0.25">
      <c r="B48">
        <v>30</v>
      </c>
    </row>
    <row r="49" spans="1:3" x14ac:dyDescent="0.25">
      <c r="B49">
        <v>27</v>
      </c>
    </row>
    <row r="50" spans="1:3" x14ac:dyDescent="0.25">
      <c r="B50">
        <v>35</v>
      </c>
    </row>
    <row r="51" spans="1:3" x14ac:dyDescent="0.25">
      <c r="B51">
        <v>40</v>
      </c>
    </row>
    <row r="52" spans="1:3" x14ac:dyDescent="0.25">
      <c r="A52" t="s">
        <v>15</v>
      </c>
      <c r="B52">
        <f>MAX(B47:B51)-MIN(B47:B51)</f>
        <v>15</v>
      </c>
      <c r="C52" s="1" t="s">
        <v>46</v>
      </c>
    </row>
    <row r="55" spans="1:3" x14ac:dyDescent="0.25">
      <c r="A55" t="s">
        <v>16</v>
      </c>
      <c r="B55">
        <v>100</v>
      </c>
    </row>
    <row r="56" spans="1:3" x14ac:dyDescent="0.25">
      <c r="B56">
        <v>105</v>
      </c>
    </row>
    <row r="57" spans="1:3" x14ac:dyDescent="0.25">
      <c r="B57">
        <v>98</v>
      </c>
    </row>
    <row r="58" spans="1:3" x14ac:dyDescent="0.25">
      <c r="B58">
        <v>110</v>
      </c>
    </row>
    <row r="59" spans="1:3" x14ac:dyDescent="0.25">
      <c r="B59">
        <v>120</v>
      </c>
    </row>
    <row r="60" spans="1:3" x14ac:dyDescent="0.25">
      <c r="A60" t="s">
        <v>44</v>
      </c>
      <c r="B60">
        <f>MAX(B55:B59)-MIN(B55:B59)</f>
        <v>22</v>
      </c>
      <c r="C60" s="1" t="s">
        <v>45</v>
      </c>
    </row>
    <row r="63" spans="1:3" x14ac:dyDescent="0.25">
      <c r="A63" t="s">
        <v>17</v>
      </c>
      <c r="B63" t="s">
        <v>19</v>
      </c>
    </row>
    <row r="64" spans="1:3" x14ac:dyDescent="0.25">
      <c r="B64" t="s">
        <v>18</v>
      </c>
    </row>
    <row r="65" spans="1:2" x14ac:dyDescent="0.25">
      <c r="B65" t="s">
        <v>20</v>
      </c>
    </row>
    <row r="66" spans="1:2" x14ac:dyDescent="0.25">
      <c r="A66" t="s">
        <v>15</v>
      </c>
      <c r="B66" t="s">
        <v>21</v>
      </c>
    </row>
    <row r="67" spans="1:2" x14ac:dyDescent="0.25">
      <c r="B67" t="s">
        <v>22</v>
      </c>
    </row>
    <row r="70" spans="1:2" x14ac:dyDescent="0.25">
      <c r="A70" t="s">
        <v>23</v>
      </c>
      <c r="B70" t="s">
        <v>24</v>
      </c>
    </row>
    <row r="71" spans="1:2" x14ac:dyDescent="0.25">
      <c r="B71" t="s">
        <v>25</v>
      </c>
    </row>
    <row r="72" spans="1:2" x14ac:dyDescent="0.25">
      <c r="A72" t="s">
        <v>15</v>
      </c>
      <c r="B72" t="s">
        <v>26</v>
      </c>
    </row>
    <row r="73" spans="1:2" x14ac:dyDescent="0.25">
      <c r="B73" s="1" t="s">
        <v>28</v>
      </c>
    </row>
    <row r="76" spans="1:2" x14ac:dyDescent="0.25">
      <c r="A76" t="s">
        <v>27</v>
      </c>
      <c r="B76">
        <v>400</v>
      </c>
    </row>
    <row r="77" spans="1:2" x14ac:dyDescent="0.25">
      <c r="B77">
        <v>420</v>
      </c>
    </row>
    <row r="78" spans="1:2" x14ac:dyDescent="0.25">
      <c r="B78">
        <v>390</v>
      </c>
    </row>
    <row r="79" spans="1:2" x14ac:dyDescent="0.25">
      <c r="B79">
        <v>450</v>
      </c>
    </row>
    <row r="80" spans="1:2" x14ac:dyDescent="0.25">
      <c r="B80">
        <v>410</v>
      </c>
    </row>
    <row r="81" spans="1:4" x14ac:dyDescent="0.25">
      <c r="A81" t="s">
        <v>15</v>
      </c>
      <c r="B81">
        <f>AVERAGE(B76:B80)</f>
        <v>414</v>
      </c>
      <c r="C81" t="s">
        <v>29</v>
      </c>
    </row>
    <row r="82" spans="1:4" x14ac:dyDescent="0.25">
      <c r="B82">
        <f>_xlfn.STDEV.P(B76:B80)</f>
        <v>20.591260281974002</v>
      </c>
      <c r="C82" t="s">
        <v>30</v>
      </c>
    </row>
    <row r="83" spans="1:4" x14ac:dyDescent="0.25">
      <c r="B83" s="1" t="s">
        <v>31</v>
      </c>
    </row>
    <row r="84" spans="1:4" x14ac:dyDescent="0.25">
      <c r="B84" s="1" t="s">
        <v>32</v>
      </c>
    </row>
    <row r="87" spans="1:4" x14ac:dyDescent="0.25">
      <c r="A87" t="s">
        <v>33</v>
      </c>
      <c r="B87">
        <v>15</v>
      </c>
    </row>
    <row r="88" spans="1:4" x14ac:dyDescent="0.25">
      <c r="B88">
        <v>18</v>
      </c>
    </row>
    <row r="89" spans="1:4" x14ac:dyDescent="0.25">
      <c r="B89">
        <v>20</v>
      </c>
    </row>
    <row r="90" spans="1:4" x14ac:dyDescent="0.25">
      <c r="B90">
        <v>22</v>
      </c>
    </row>
    <row r="91" spans="1:4" x14ac:dyDescent="0.25">
      <c r="B91">
        <v>25</v>
      </c>
    </row>
    <row r="92" spans="1:4" x14ac:dyDescent="0.25">
      <c r="B92">
        <v>17</v>
      </c>
    </row>
    <row r="93" spans="1:4" x14ac:dyDescent="0.25">
      <c r="B93">
        <v>19</v>
      </c>
    </row>
    <row r="94" spans="1:4" x14ac:dyDescent="0.25">
      <c r="B94">
        <v>21</v>
      </c>
    </row>
    <row r="95" spans="1:4" x14ac:dyDescent="0.25">
      <c r="A95" t="s">
        <v>34</v>
      </c>
    </row>
    <row r="96" spans="1:4" x14ac:dyDescent="0.25">
      <c r="A96" t="s">
        <v>3</v>
      </c>
      <c r="B96">
        <f>AVERAGE(B87:B94)</f>
        <v>19.625</v>
      </c>
      <c r="D96" s="1" t="s">
        <v>39</v>
      </c>
    </row>
    <row r="97" spans="1:4" x14ac:dyDescent="0.25">
      <c r="A97" t="s">
        <v>35</v>
      </c>
      <c r="B97">
        <f>MEDIAN(B87:B94)</f>
        <v>19.5</v>
      </c>
      <c r="D97" s="1" t="s">
        <v>40</v>
      </c>
    </row>
    <row r="98" spans="1:4" x14ac:dyDescent="0.25">
      <c r="A98" t="s">
        <v>36</v>
      </c>
      <c r="B98" t="e">
        <f>_xlfn.MODE.MULT(B87:B94)</f>
        <v>#N/A</v>
      </c>
      <c r="C98" t="e">
        <f>_xlfn.MODE.SNGL(B87:B94)</f>
        <v>#N/A</v>
      </c>
      <c r="D98" t="s">
        <v>41</v>
      </c>
    </row>
    <row r="99" spans="1:4" x14ac:dyDescent="0.25">
      <c r="A99" t="s">
        <v>37</v>
      </c>
      <c r="B99">
        <f>MAX(B87:B94)-MIN(B87:B94)</f>
        <v>10</v>
      </c>
      <c r="D99" s="1" t="s">
        <v>42</v>
      </c>
    </row>
    <row r="100" spans="1:4" x14ac:dyDescent="0.25">
      <c r="A100" t="s">
        <v>38</v>
      </c>
      <c r="B100">
        <f>_xlfn.STDEV.P(B87:B94)</f>
        <v>2.912795049432761</v>
      </c>
      <c r="D100" s="1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 Biradar</dc:creator>
  <cp:lastModifiedBy>Basu Biradar</cp:lastModifiedBy>
  <dcterms:created xsi:type="dcterms:W3CDTF">2025-12-23T15:39:07Z</dcterms:created>
  <dcterms:modified xsi:type="dcterms:W3CDTF">2025-12-23T17:21:37Z</dcterms:modified>
</cp:coreProperties>
</file>